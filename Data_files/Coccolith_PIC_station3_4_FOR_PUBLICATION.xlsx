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l_kruijt_uu_nl/Documents/ANNE PhD current work/Chapter 2 Data paper pankton/excelsheets/for paper/Data_files/"/>
    </mc:Choice>
  </mc:AlternateContent>
  <xr:revisionPtr revIDLastSave="38" documentId="8_{E964A146-36F9-46C3-A1A8-83B2555DF08E}" xr6:coauthVersionLast="47" xr6:coauthVersionMax="47" xr10:uidLastSave="{23348030-513A-42C0-8BF6-07492D043806}"/>
  <bookViews>
    <workbookView xWindow="-108" yWindow="-108" windowWidth="23256" windowHeight="12576" xr2:uid="{00000000-000D-0000-FFFF-FFFF00000000}"/>
  </bookViews>
  <sheets>
    <sheet name="Data" sheetId="2" r:id="rId1"/>
    <sheet name="INF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2" i="2"/>
  <c r="AR2" i="2"/>
  <c r="AP2" i="2"/>
  <c r="AJ2" i="2"/>
  <c r="AK2" i="2" s="1"/>
  <c r="AI2" i="2"/>
  <c r="E10" i="2" l="1"/>
  <c r="E6" i="2"/>
  <c r="E2" i="2"/>
  <c r="E7" i="2"/>
  <c r="E9" i="2"/>
  <c r="E5" i="2"/>
  <c r="E12" i="2"/>
  <c r="E8" i="2"/>
  <c r="E4" i="2"/>
  <c r="E3" i="2"/>
  <c r="E11" i="2"/>
</calcChain>
</file>

<file path=xl/sharedStrings.xml><?xml version="1.0" encoding="utf-8"?>
<sst xmlns="http://schemas.openxmlformats.org/spreadsheetml/2006/main" count="58" uniqueCount="58">
  <si>
    <t>Label</t>
  </si>
  <si>
    <t>Station</t>
  </si>
  <si>
    <t>Depth (m)</t>
  </si>
  <si>
    <t>volume filtered (L)</t>
  </si>
  <si>
    <t>1FLO</t>
  </si>
  <si>
    <t>1GLA</t>
  </si>
  <si>
    <t>2EMI</t>
  </si>
  <si>
    <t>2GCAR</t>
  </si>
  <si>
    <t>2GEO</t>
  </si>
  <si>
    <t>2GERI</t>
  </si>
  <si>
    <t>2GMUL</t>
  </si>
  <si>
    <t>2PLAC</t>
  </si>
  <si>
    <t>2PLACWS</t>
  </si>
  <si>
    <t>2POVA</t>
  </si>
  <si>
    <t>2POVAWS</t>
  </si>
  <si>
    <t>2RHAQ</t>
  </si>
  <si>
    <t>2RMIN</t>
  </si>
  <si>
    <t>2RPROD</t>
  </si>
  <si>
    <t>2RPSE</t>
  </si>
  <si>
    <t>3CLEP</t>
  </si>
  <si>
    <t>3CPEL</t>
  </si>
  <si>
    <t>3USI</t>
  </si>
  <si>
    <t>4HELI</t>
  </si>
  <si>
    <t>4PONTO</t>
  </si>
  <si>
    <t>4SPUL</t>
  </si>
  <si>
    <t>5UTE</t>
  </si>
  <si>
    <t>7RHABDO</t>
  </si>
  <si>
    <t>7SCAPH</t>
  </si>
  <si>
    <t>8CERATO</t>
  </si>
  <si>
    <t>9DISCO</t>
  </si>
  <si>
    <t>9SPHENOL</t>
  </si>
  <si>
    <t>9SPHETOP</t>
  </si>
  <si>
    <t>nbr FOV</t>
  </si>
  <si>
    <t>Dmax (vert)</t>
  </si>
  <si>
    <t>Lux max</t>
  </si>
  <si>
    <t>S3-5</t>
  </si>
  <si>
    <t>S3-100</t>
  </si>
  <si>
    <t>S3-175</t>
  </si>
  <si>
    <t>S3-250</t>
  </si>
  <si>
    <t>S3-400</t>
  </si>
  <si>
    <t>S3-650</t>
  </si>
  <si>
    <t>S4-1000</t>
  </si>
  <si>
    <t>S4-2000</t>
  </si>
  <si>
    <t>S4-3000</t>
  </si>
  <si>
    <t>S4-4000</t>
  </si>
  <si>
    <t>S4-4905</t>
  </si>
  <si>
    <t>coccolith [PIC] mg/m3</t>
  </si>
  <si>
    <t>cocco [CaCO3] (mg/l)</t>
  </si>
  <si>
    <t xml:space="preserve">Data sheet contains coccosphere measurements and PIC concentrations at station 3 and 4 of BeyΩnd expedition. </t>
  </si>
  <si>
    <t>Samples were analyed by L. Beaufort at research institute Cerege, Aix-en-Provence</t>
  </si>
  <si>
    <t>Samples were collected at sea during the 64PE513 BeyΩnd cruise by A. L. Kruijt</t>
  </si>
  <si>
    <t>surface  filter</t>
  </si>
  <si>
    <t>surf Fil/ surf FOV</t>
  </si>
  <si>
    <t>Density CaCO3</t>
  </si>
  <si>
    <t>conversion pg to mg</t>
  </si>
  <si>
    <t>side of a pixel</t>
  </si>
  <si>
    <t>Surface of a pixel</t>
  </si>
  <si>
    <t>Surface FOV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</si>
</sst>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"/>
    <numFmt numFmtId="165" formatCode="0.00000000000"/>
    <numFmt numFmtId="166" formatCode="0.0000000000000"/>
  </numFmts>
  <fonts count="7">
    <font>
      <sz val="10"/>
      <color indexed="8"/>
      <name val="Helvetica Neue"/>
    </font>
    <font>
      <b/>
      <sz val="10"/>
      <color indexed="8"/>
      <name val="Helvetica Neue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0"/>
      <color rgb="FF000000"/>
      <name val="Helvetica Neue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horizontal="left" vertical="center" wrapText="1" readingOrder="1"/>
    </xf>
    <xf numFmtId="49" fontId="3" fillId="3" borderId="1" xfId="0" applyNumberFormat="1" applyFont="1" applyFill="1" applyBorder="1" applyAlignment="1">
      <alignment horizontal="left" vertical="center" wrapText="1" readingOrder="1"/>
    </xf>
    <xf numFmtId="0" fontId="0" fillId="0" borderId="2" xfId="0" applyNumberFormat="1" applyFont="1" applyBorder="1" applyAlignment="1">
      <alignment vertical="top"/>
    </xf>
    <xf numFmtId="0" fontId="4" fillId="0" borderId="2" xfId="0" applyNumberFormat="1" applyFont="1" applyBorder="1" applyAlignment="1">
      <alignment vertical="center" wrapText="1" readingOrder="1"/>
    </xf>
    <xf numFmtId="0" fontId="5" fillId="0" borderId="2" xfId="0" applyNumberFormat="1" applyFont="1" applyBorder="1" applyAlignment="1">
      <alignment vertical="center" wrapText="1" readingOrder="1"/>
    </xf>
    <xf numFmtId="49" fontId="1" fillId="4" borderId="3" xfId="0" applyNumberFormat="1" applyFont="1" applyFill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0" fontId="4" fillId="0" borderId="5" xfId="0" applyNumberFormat="1" applyFont="1" applyBorder="1" applyAlignment="1">
      <alignment vertical="center" wrapText="1" readingOrder="1"/>
    </xf>
    <xf numFmtId="164" fontId="0" fillId="0" borderId="5" xfId="0" applyNumberFormat="1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4" fillId="0" borderId="5" xfId="0" applyNumberFormat="1" applyFont="1" applyBorder="1" applyAlignment="1">
      <alignment horizontal="left" vertical="center" wrapText="1" readingOrder="1"/>
    </xf>
    <xf numFmtId="165" fontId="0" fillId="0" borderId="5" xfId="0" applyNumberFormat="1" applyFont="1" applyBorder="1" applyAlignment="1">
      <alignment vertical="top"/>
    </xf>
    <xf numFmtId="166" fontId="0" fillId="0" borderId="5" xfId="0" applyNumberFormat="1" applyFont="1" applyBorder="1" applyAlignment="1">
      <alignment vertical="top"/>
    </xf>
    <xf numFmtId="0" fontId="6" fillId="0" borderId="0" xfId="0" applyFont="1">
      <alignment vertical="top" wrapText="1"/>
    </xf>
    <xf numFmtId="0" fontId="0" fillId="0" borderId="0" xfId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5D5D5"/>
      <rgbColor rgb="FF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9EDC-CDF9-47E9-BBB1-06A09A46EF7E}">
  <dimension ref="A1:AR70"/>
  <sheetViews>
    <sheetView tabSelected="1" topLeftCell="W1" workbookViewId="0">
      <selection activeCell="AL9" sqref="AL9"/>
    </sheetView>
  </sheetViews>
  <sheetFormatPr defaultRowHeight="13.2"/>
  <cols>
    <col min="6" max="6" width="15.5546875" customWidth="1"/>
  </cols>
  <sheetData>
    <row r="1" spans="1:44" s="1" customFormat="1" ht="27.9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46</v>
      </c>
      <c r="F1" s="2" t="s">
        <v>47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4" t="s">
        <v>57</v>
      </c>
      <c r="AJ1" s="4" t="s">
        <v>51</v>
      </c>
      <c r="AK1" s="4" t="s">
        <v>52</v>
      </c>
      <c r="AL1" s="4" t="s">
        <v>32</v>
      </c>
      <c r="AM1" s="4" t="s">
        <v>33</v>
      </c>
      <c r="AN1" s="4" t="s">
        <v>53</v>
      </c>
      <c r="AO1" s="4" t="s">
        <v>34</v>
      </c>
      <c r="AP1" s="4" t="s">
        <v>54</v>
      </c>
      <c r="AQ1" s="4" t="s">
        <v>55</v>
      </c>
      <c r="AR1" s="4" t="s">
        <v>56</v>
      </c>
    </row>
    <row r="2" spans="1:44" s="1" customFormat="1" ht="20.100000000000001" customHeight="1">
      <c r="A2" s="8" t="s">
        <v>35</v>
      </c>
      <c r="B2" s="9">
        <v>3</v>
      </c>
      <c r="C2" s="10">
        <v>5</v>
      </c>
      <c r="D2" s="11">
        <v>8</v>
      </c>
      <c r="E2" s="6">
        <f t="shared" ref="E2:E12" si="0">F2*1000/8.3333333333333</f>
        <v>0.22587213032927952</v>
      </c>
      <c r="F2" s="5">
        <f>SUM(G2:AD2)*AK$2/D2/AL$2/AP$2</f>
        <v>1.8822677527439886E-3</v>
      </c>
      <c r="G2" s="10">
        <v>186.76288860971101</v>
      </c>
      <c r="H2" s="10">
        <v>174.360001165163</v>
      </c>
      <c r="I2" s="12">
        <v>4659.0132780813701</v>
      </c>
      <c r="J2" s="10">
        <v>319.417379501293</v>
      </c>
      <c r="K2" s="10">
        <v>56.7215912907822</v>
      </c>
      <c r="L2" s="10">
        <v>104.79737944287101</v>
      </c>
      <c r="M2" s="10">
        <v>17.004339155194899</v>
      </c>
      <c r="N2" s="10">
        <v>11.936758361036199</v>
      </c>
      <c r="O2" s="10">
        <v>0</v>
      </c>
      <c r="P2" s="10">
        <v>0</v>
      </c>
      <c r="Q2" s="10">
        <v>8.6623195235425392</v>
      </c>
      <c r="R2" s="10">
        <v>3.1733087508993201</v>
      </c>
      <c r="S2" s="10">
        <v>1.9138033237552901</v>
      </c>
      <c r="T2" s="10">
        <v>207.98454244539801</v>
      </c>
      <c r="U2" s="12">
        <v>4345.74549920547</v>
      </c>
      <c r="V2" s="10">
        <v>373.42051803661599</v>
      </c>
      <c r="W2" s="10">
        <v>2115.8263688471902</v>
      </c>
      <c r="X2" s="10">
        <v>654.33676254863303</v>
      </c>
      <c r="Y2" s="12">
        <v>1028.23278206175</v>
      </c>
      <c r="Z2" s="10">
        <v>887.949228817826</v>
      </c>
      <c r="AA2" s="10">
        <v>309.14812059789301</v>
      </c>
      <c r="AB2" s="10">
        <v>653.39054410393999</v>
      </c>
      <c r="AC2" s="10">
        <v>219.44324322275401</v>
      </c>
      <c r="AD2" s="10">
        <v>24.6284203756002</v>
      </c>
      <c r="AE2" s="12">
        <v>1366.5005999723601</v>
      </c>
      <c r="AF2" s="10">
        <v>3918.89257548775</v>
      </c>
      <c r="AG2" s="10">
        <v>19.612551595908698</v>
      </c>
      <c r="AH2" s="10">
        <v>0</v>
      </c>
      <c r="AI2" s="7">
        <f>0.125^2</f>
        <v>1.5625E-2</v>
      </c>
      <c r="AJ2" s="7">
        <f>21.5^2*PI()</f>
        <v>1452.2012041218818</v>
      </c>
      <c r="AK2" s="7">
        <f>AJ2/AI2</f>
        <v>92940.877063800435</v>
      </c>
      <c r="AL2" s="7">
        <v>101</v>
      </c>
      <c r="AM2" s="7">
        <v>1.62</v>
      </c>
      <c r="AN2" s="7">
        <v>2.71</v>
      </c>
      <c r="AO2" s="7">
        <v>256</v>
      </c>
      <c r="AP2" s="7">
        <f>10^9</f>
        <v>1000000000</v>
      </c>
      <c r="AQ2" s="7">
        <v>6.1699999999999998E-2</v>
      </c>
      <c r="AR2" s="7">
        <f>AQ2^2</f>
        <v>3.8068899999999998E-3</v>
      </c>
    </row>
    <row r="3" spans="1:44" s="1" customFormat="1" ht="20.100000000000001" customHeight="1">
      <c r="A3" s="8" t="s">
        <v>36</v>
      </c>
      <c r="B3" s="9">
        <v>3</v>
      </c>
      <c r="C3" s="10">
        <v>100</v>
      </c>
      <c r="D3" s="11">
        <v>8</v>
      </c>
      <c r="E3" s="6">
        <f t="shared" si="0"/>
        <v>0.24609708225951121</v>
      </c>
      <c r="F3" s="5">
        <f t="shared" ref="F3:F12" si="1">SUM(G3:AD3)*AK$2/D3/AL$2/AP$2</f>
        <v>2.0508090188292522E-3</v>
      </c>
      <c r="G3" s="10">
        <v>149.82360064800699</v>
      </c>
      <c r="H3" s="10">
        <v>226.11645257257501</v>
      </c>
      <c r="I3" s="12">
        <v>5316.6533175997702</v>
      </c>
      <c r="J3" s="10">
        <v>313.35501422604</v>
      </c>
      <c r="K3" s="10">
        <v>188.902219236105</v>
      </c>
      <c r="L3" s="10">
        <v>84.641556759612399</v>
      </c>
      <c r="M3" s="10">
        <v>25.469772884745701</v>
      </c>
      <c r="N3" s="10">
        <v>70.8566018257482</v>
      </c>
      <c r="O3" s="10">
        <v>0</v>
      </c>
      <c r="P3" s="10">
        <v>24.096422376322099</v>
      </c>
      <c r="Q3" s="10">
        <v>0</v>
      </c>
      <c r="R3" s="10">
        <v>5.28065526695082</v>
      </c>
      <c r="S3" s="10">
        <v>7.6475449734842096</v>
      </c>
      <c r="T3" s="10">
        <v>145.41733065989899</v>
      </c>
      <c r="U3" s="10">
        <v>2053.4673814849698</v>
      </c>
      <c r="V3" s="10">
        <v>169.48668451660799</v>
      </c>
      <c r="W3" s="10">
        <v>3052.8029130997902</v>
      </c>
      <c r="X3" s="10">
        <v>858.27675694235495</v>
      </c>
      <c r="Y3" s="10">
        <v>604.30365170953701</v>
      </c>
      <c r="Z3" s="10">
        <v>3014.1229816904001</v>
      </c>
      <c r="AA3" s="10">
        <v>93.975542600341299</v>
      </c>
      <c r="AB3" s="10">
        <v>1121.56326807605</v>
      </c>
      <c r="AC3" s="10">
        <v>160.42023789394599</v>
      </c>
      <c r="AD3" s="10">
        <v>142.43618873589199</v>
      </c>
      <c r="AE3" s="10">
        <v>2139.0910732722</v>
      </c>
      <c r="AF3" s="12">
        <v>3560.9516459034498</v>
      </c>
      <c r="AG3" s="10">
        <v>6.8075688297428503</v>
      </c>
      <c r="AH3" s="10">
        <v>5.57427988648588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s="1" customFormat="1" ht="20.100000000000001" customHeight="1">
      <c r="A4" s="8" t="s">
        <v>37</v>
      </c>
      <c r="B4" s="9">
        <v>3</v>
      </c>
      <c r="C4" s="10">
        <v>175</v>
      </c>
      <c r="D4" s="11">
        <v>8</v>
      </c>
      <c r="E4" s="6">
        <f t="shared" si="0"/>
        <v>7.4173914049698109E-3</v>
      </c>
      <c r="F4" s="5">
        <f t="shared" si="1"/>
        <v>6.1811595041414845E-5</v>
      </c>
      <c r="G4" s="10">
        <v>25.747864237577598</v>
      </c>
      <c r="H4" s="10">
        <v>46.419758406152702</v>
      </c>
      <c r="I4" s="10">
        <v>163.652206027543</v>
      </c>
      <c r="J4" s="10">
        <v>10.7877554134761</v>
      </c>
      <c r="K4" s="10">
        <v>0</v>
      </c>
      <c r="L4" s="10">
        <v>5.0334993651055804</v>
      </c>
      <c r="M4" s="10">
        <v>10.119103991936701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15.712128664401799</v>
      </c>
      <c r="V4" s="10">
        <v>222.056174630567</v>
      </c>
      <c r="W4" s="10">
        <v>0</v>
      </c>
      <c r="X4" s="10">
        <v>24.3135604041167</v>
      </c>
      <c r="Y4" s="10">
        <v>0</v>
      </c>
      <c r="Z4" s="10">
        <v>0</v>
      </c>
      <c r="AA4" s="10">
        <v>0.83551934148056495</v>
      </c>
      <c r="AB4" s="10">
        <v>12.693824874484701</v>
      </c>
      <c r="AC4" s="10">
        <v>0</v>
      </c>
      <c r="AD4" s="10">
        <v>0</v>
      </c>
      <c r="AE4" s="10">
        <v>0</v>
      </c>
      <c r="AF4" s="10">
        <v>52.348222989952703</v>
      </c>
      <c r="AG4" s="10">
        <v>0</v>
      </c>
      <c r="AH4" s="10">
        <v>0</v>
      </c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s="1" customFormat="1" ht="20.100000000000001" customHeight="1">
      <c r="A5" s="8" t="s">
        <v>38</v>
      </c>
      <c r="B5" s="9">
        <v>3</v>
      </c>
      <c r="C5" s="10">
        <v>250</v>
      </c>
      <c r="D5" s="11">
        <v>8</v>
      </c>
      <c r="E5" s="6">
        <f t="shared" si="0"/>
        <v>5.0356930644578697E-2</v>
      </c>
      <c r="F5" s="5">
        <f t="shared" si="1"/>
        <v>4.1964108870482078E-4</v>
      </c>
      <c r="G5" s="10">
        <v>61.119144297997401</v>
      </c>
      <c r="H5" s="10">
        <v>59.318399561005101</v>
      </c>
      <c r="I5" s="10">
        <v>460.82404691494003</v>
      </c>
      <c r="J5" s="10">
        <v>112.384560962205</v>
      </c>
      <c r="K5" s="10">
        <v>21.0737273253539</v>
      </c>
      <c r="L5" s="10">
        <v>20.950116603826402</v>
      </c>
      <c r="M5" s="10">
        <v>0</v>
      </c>
      <c r="N5" s="10">
        <v>6.67202960804675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100.55188204220001</v>
      </c>
      <c r="V5" s="10">
        <v>901.54450749076705</v>
      </c>
      <c r="W5" s="10">
        <v>386.92574308740598</v>
      </c>
      <c r="X5" s="10">
        <v>146.772198547182</v>
      </c>
      <c r="Y5" s="10">
        <v>232.692398767176</v>
      </c>
      <c r="Z5" s="10">
        <v>1021.68410101039</v>
      </c>
      <c r="AA5" s="10">
        <v>38.485732804992601</v>
      </c>
      <c r="AB5" s="10">
        <v>77.234679108211296</v>
      </c>
      <c r="AC5" s="10">
        <v>0</v>
      </c>
      <c r="AD5" s="10">
        <v>0</v>
      </c>
      <c r="AE5" s="10">
        <v>0</v>
      </c>
      <c r="AF5" s="10">
        <v>725.42524917436197</v>
      </c>
      <c r="AG5" s="10">
        <v>0</v>
      </c>
      <c r="AH5" s="10">
        <v>6.2329690441482404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s="1" customFormat="1" ht="20.100000000000001" customHeight="1">
      <c r="A6" s="8" t="s">
        <v>39</v>
      </c>
      <c r="B6" s="9">
        <v>3</v>
      </c>
      <c r="C6" s="10">
        <v>400</v>
      </c>
      <c r="D6" s="11">
        <v>8</v>
      </c>
      <c r="E6" s="6">
        <f t="shared" si="0"/>
        <v>0.1751227638670016</v>
      </c>
      <c r="F6" s="5">
        <f t="shared" si="1"/>
        <v>1.4593563655583407E-3</v>
      </c>
      <c r="G6" s="10">
        <v>456.54826947537998</v>
      </c>
      <c r="H6" s="10">
        <v>284.66775781504498</v>
      </c>
      <c r="I6" s="10">
        <v>3995.98227744006</v>
      </c>
      <c r="J6" s="10">
        <v>651.05039521097103</v>
      </c>
      <c r="K6" s="10">
        <v>342.19104918309398</v>
      </c>
      <c r="L6" s="10">
        <v>99.909905893016003</v>
      </c>
      <c r="M6" s="10">
        <v>52.195184265262</v>
      </c>
      <c r="N6" s="10">
        <v>26.7885275654744</v>
      </c>
      <c r="O6" s="10">
        <v>0</v>
      </c>
      <c r="P6" s="10">
        <v>26.7860369995052</v>
      </c>
      <c r="Q6" s="10">
        <v>0</v>
      </c>
      <c r="R6" s="10">
        <v>8.6779183314553396</v>
      </c>
      <c r="S6" s="10">
        <v>0</v>
      </c>
      <c r="T6" s="10">
        <v>66.644333818404803</v>
      </c>
      <c r="U6" s="10">
        <v>225.25825597253299</v>
      </c>
      <c r="V6" s="10">
        <v>2099.2338906538698</v>
      </c>
      <c r="W6" s="10">
        <v>1037.63119491163</v>
      </c>
      <c r="X6" s="10">
        <v>714.94973208398096</v>
      </c>
      <c r="Y6" s="12">
        <v>1114.65417591246</v>
      </c>
      <c r="Z6" s="10">
        <v>257.15067416234899</v>
      </c>
      <c r="AA6" s="10">
        <v>256.164278956099</v>
      </c>
      <c r="AB6" s="10">
        <v>802.91363830539103</v>
      </c>
      <c r="AC6" s="10">
        <v>139.863892878103</v>
      </c>
      <c r="AD6" s="10">
        <v>27.943429221909099</v>
      </c>
      <c r="AE6" s="10">
        <v>361.695261159339</v>
      </c>
      <c r="AF6" s="10">
        <v>2876.2342387083499</v>
      </c>
      <c r="AG6" s="10">
        <v>4.7343037427445198</v>
      </c>
      <c r="AH6" s="10">
        <v>6.7269531417901396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1" customFormat="1" ht="20.100000000000001" customHeight="1">
      <c r="A7" s="8" t="s">
        <v>40</v>
      </c>
      <c r="B7" s="9">
        <v>3</v>
      </c>
      <c r="C7" s="10">
        <v>650</v>
      </c>
      <c r="D7" s="14">
        <v>8</v>
      </c>
      <c r="E7" s="6">
        <f t="shared" si="0"/>
        <v>0.19485381559700193</v>
      </c>
      <c r="F7" s="5">
        <f t="shared" si="1"/>
        <v>1.6237817966416764E-3</v>
      </c>
      <c r="G7" s="10">
        <v>449.72392209595</v>
      </c>
      <c r="H7" s="10">
        <v>528.74748298219504</v>
      </c>
      <c r="I7" s="12">
        <v>1692.5992503922701</v>
      </c>
      <c r="J7" s="10">
        <v>487.83121995603301</v>
      </c>
      <c r="K7" s="10">
        <v>238.44691698038599</v>
      </c>
      <c r="L7" s="10">
        <v>133.48017905160501</v>
      </c>
      <c r="M7" s="10">
        <v>35.067889800636799</v>
      </c>
      <c r="N7" s="10">
        <v>107.36030290767</v>
      </c>
      <c r="O7" s="10">
        <v>0</v>
      </c>
      <c r="P7" s="10">
        <v>62.416794709197099</v>
      </c>
      <c r="Q7" s="10">
        <v>0</v>
      </c>
      <c r="R7" s="10">
        <v>11.7202757453388</v>
      </c>
      <c r="S7" s="10">
        <v>25.068529598854202</v>
      </c>
      <c r="T7" s="10">
        <v>86.744905261871097</v>
      </c>
      <c r="U7" s="10">
        <v>1500.76786341146</v>
      </c>
      <c r="V7" s="10">
        <v>1373.35988081657</v>
      </c>
      <c r="W7" s="10">
        <v>3449.1013113416602</v>
      </c>
      <c r="X7" s="10">
        <v>368.717608533327</v>
      </c>
      <c r="Y7" s="12">
        <v>2072.5015319051199</v>
      </c>
      <c r="Z7" s="10">
        <v>443.27912386199398</v>
      </c>
      <c r="AA7" s="10">
        <v>280.00627035629702</v>
      </c>
      <c r="AB7" s="10">
        <v>523.50693893559105</v>
      </c>
      <c r="AC7" s="10">
        <v>226.912057317338</v>
      </c>
      <c r="AD7" s="10">
        <v>19.3097512070132</v>
      </c>
      <c r="AE7" s="10">
        <v>1674.3364544692799</v>
      </c>
      <c r="AF7" s="12">
        <v>4110.7237003037098</v>
      </c>
      <c r="AG7" s="10">
        <v>25.158321056167399</v>
      </c>
      <c r="AH7" s="10">
        <v>22.087584298476202</v>
      </c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s="1" customFormat="1" ht="20.100000000000001" customHeight="1">
      <c r="A8" s="8" t="s">
        <v>41</v>
      </c>
      <c r="B8" s="9">
        <v>4</v>
      </c>
      <c r="C8" s="10">
        <v>1000</v>
      </c>
      <c r="D8" s="11">
        <v>7</v>
      </c>
      <c r="E8" s="6">
        <f t="shared" si="0"/>
        <v>0.18826465067776321</v>
      </c>
      <c r="F8" s="5">
        <f t="shared" si="1"/>
        <v>1.568872088981354E-3</v>
      </c>
      <c r="G8" s="10">
        <v>523.57418421676095</v>
      </c>
      <c r="H8" s="12">
        <v>506.18642898471802</v>
      </c>
      <c r="I8" s="12">
        <v>2612.8342757406299</v>
      </c>
      <c r="J8" s="10">
        <v>590.09582489057505</v>
      </c>
      <c r="K8" s="10">
        <v>554.28731942012803</v>
      </c>
      <c r="L8" s="10">
        <v>159.48437496038801</v>
      </c>
      <c r="M8" s="10">
        <v>19.708176220886799</v>
      </c>
      <c r="N8" s="10">
        <v>115.310320564001</v>
      </c>
      <c r="O8" s="10">
        <v>0</v>
      </c>
      <c r="P8" s="10">
        <v>68.284371509169503</v>
      </c>
      <c r="Q8" s="10">
        <v>0</v>
      </c>
      <c r="R8" s="10">
        <v>92.013697569862998</v>
      </c>
      <c r="S8" s="10">
        <v>17.045105787639301</v>
      </c>
      <c r="T8" s="10">
        <v>100.130058816458</v>
      </c>
      <c r="U8" s="10">
        <v>1625.7791350494001</v>
      </c>
      <c r="V8" s="10">
        <v>1076.5485165826201</v>
      </c>
      <c r="W8" s="12">
        <v>1357.174544618</v>
      </c>
      <c r="X8" s="10">
        <v>583.15219250945802</v>
      </c>
      <c r="Y8" s="10">
        <v>669.45652975960695</v>
      </c>
      <c r="Z8" s="12">
        <v>190.940550858324</v>
      </c>
      <c r="AA8" s="10">
        <v>290.811328649139</v>
      </c>
      <c r="AB8" s="10">
        <v>667.79270060971498</v>
      </c>
      <c r="AC8" s="10">
        <v>93.256817694577606</v>
      </c>
      <c r="AD8" s="10">
        <v>20.522394669209099</v>
      </c>
      <c r="AE8" s="10">
        <v>689.54261659572603</v>
      </c>
      <c r="AF8" s="12">
        <v>4045.8600556121301</v>
      </c>
      <c r="AG8" s="10">
        <v>49.0742429409271</v>
      </c>
      <c r="AH8" s="10">
        <v>15.6335447539504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s="1" customFormat="1" ht="20.100000000000001" customHeight="1">
      <c r="A9" s="8" t="s">
        <v>42</v>
      </c>
      <c r="B9" s="9">
        <v>4</v>
      </c>
      <c r="C9" s="10">
        <v>2000</v>
      </c>
      <c r="D9" s="11">
        <v>8</v>
      </c>
      <c r="E9" s="6">
        <f t="shared" si="0"/>
        <v>0.32726062264912215</v>
      </c>
      <c r="F9" s="5">
        <f t="shared" si="1"/>
        <v>2.7271718554093406E-3</v>
      </c>
      <c r="G9" s="10">
        <v>255.545963183623</v>
      </c>
      <c r="H9" s="10">
        <v>37.498223398176897</v>
      </c>
      <c r="I9" s="10">
        <v>781.64708874104804</v>
      </c>
      <c r="J9" s="12">
        <v>821.383544451082</v>
      </c>
      <c r="K9" s="12">
        <v>1701.51724617492</v>
      </c>
      <c r="L9" s="10">
        <v>86.804613303923901</v>
      </c>
      <c r="M9" s="10">
        <v>23.388511770161799</v>
      </c>
      <c r="N9" s="10">
        <v>256.012157808344</v>
      </c>
      <c r="O9" s="10">
        <v>0</v>
      </c>
      <c r="P9" s="10">
        <v>90.382049153942205</v>
      </c>
      <c r="Q9" s="10">
        <v>12.2623015497037</v>
      </c>
      <c r="R9" s="12">
        <v>176.40278958964299</v>
      </c>
      <c r="S9" s="10">
        <v>104.633002088899</v>
      </c>
      <c r="T9" s="10">
        <v>259.305406973027</v>
      </c>
      <c r="U9" s="10">
        <v>4084.7430336892198</v>
      </c>
      <c r="V9" s="12">
        <v>2797.8416430480602</v>
      </c>
      <c r="W9" s="12">
        <v>6875.7799917207603</v>
      </c>
      <c r="X9" s="10">
        <v>714.690188893499</v>
      </c>
      <c r="Y9" s="10">
        <v>3035.3157318526</v>
      </c>
      <c r="Z9" s="10">
        <v>498.64040734508598</v>
      </c>
      <c r="AA9" s="10">
        <v>294.56349736426398</v>
      </c>
      <c r="AB9" s="10">
        <v>469.200934470162</v>
      </c>
      <c r="AC9" s="10">
        <v>324.44504569873402</v>
      </c>
      <c r="AD9" s="10">
        <v>7.2075668326496496</v>
      </c>
      <c r="AE9" s="12">
        <v>3868.6272521426199</v>
      </c>
      <c r="AF9" s="12">
        <v>4274.6602240990096</v>
      </c>
      <c r="AG9" s="10">
        <v>26.2525315524035</v>
      </c>
      <c r="AH9" s="10">
        <v>37.282986065464101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s="1" customFormat="1" ht="20.100000000000001" customHeight="1">
      <c r="A10" s="8" t="s">
        <v>43</v>
      </c>
      <c r="B10" s="9">
        <v>4</v>
      </c>
      <c r="C10" s="10">
        <v>3000</v>
      </c>
      <c r="D10" s="11">
        <v>8.5</v>
      </c>
      <c r="E10" s="6">
        <f t="shared" si="0"/>
        <v>2.0806142645698198E-3</v>
      </c>
      <c r="F10" s="5">
        <f t="shared" si="1"/>
        <v>1.7338452204748431E-5</v>
      </c>
      <c r="G10" s="10">
        <v>19.788988532468601</v>
      </c>
      <c r="H10" s="10">
        <v>6.4549571214619101</v>
      </c>
      <c r="I10" s="10">
        <v>17.534436459391301</v>
      </c>
      <c r="J10" s="10">
        <v>35.853991069990201</v>
      </c>
      <c r="K10" s="10">
        <v>0</v>
      </c>
      <c r="L10" s="10">
        <v>6.4910703280163302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7.4633086329679097</v>
      </c>
      <c r="U10" s="10">
        <v>0</v>
      </c>
      <c r="V10" s="10">
        <v>64.539019079854498</v>
      </c>
      <c r="W10" s="10">
        <v>0</v>
      </c>
      <c r="X10" s="10">
        <v>0</v>
      </c>
      <c r="Y10" s="10">
        <v>0</v>
      </c>
      <c r="Z10" s="10">
        <v>0</v>
      </c>
      <c r="AA10" s="10">
        <v>2.03046667705271</v>
      </c>
      <c r="AB10" s="10">
        <v>0</v>
      </c>
      <c r="AC10" s="10">
        <v>0</v>
      </c>
      <c r="AD10" s="10">
        <v>0</v>
      </c>
      <c r="AE10" s="10">
        <v>0</v>
      </c>
      <c r="AF10" s="10">
        <v>0.42116781364560002</v>
      </c>
      <c r="AG10" s="10">
        <v>0</v>
      </c>
      <c r="AH10" s="10">
        <v>0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 s="1" customFormat="1" ht="20.100000000000001" customHeight="1">
      <c r="A11" s="8" t="s">
        <v>44</v>
      </c>
      <c r="B11" s="9">
        <v>4</v>
      </c>
      <c r="C11" s="10">
        <v>4000</v>
      </c>
      <c r="D11" s="11">
        <v>8</v>
      </c>
      <c r="E11" s="6">
        <f t="shared" si="0"/>
        <v>0.14556260836302401</v>
      </c>
      <c r="F11" s="5">
        <f t="shared" si="1"/>
        <v>1.2130217363585285E-3</v>
      </c>
      <c r="G11" s="10">
        <v>275.70637375156099</v>
      </c>
      <c r="H11" s="10">
        <v>222.56523320644399</v>
      </c>
      <c r="I11" s="10">
        <v>665.70717931649904</v>
      </c>
      <c r="J11" s="10">
        <v>736.630698717369</v>
      </c>
      <c r="K11" s="10">
        <v>369.082935236293</v>
      </c>
      <c r="L11" s="10">
        <v>143.253946409539</v>
      </c>
      <c r="M11" s="10">
        <v>31.451915719304498</v>
      </c>
      <c r="N11" s="10">
        <v>98.5757490280035</v>
      </c>
      <c r="O11" s="10">
        <v>0</v>
      </c>
      <c r="P11" s="10">
        <v>35.873260185647197</v>
      </c>
      <c r="Q11" s="10">
        <v>0</v>
      </c>
      <c r="R11" s="10">
        <v>129.67544628628499</v>
      </c>
      <c r="S11" s="10">
        <v>53.308663877155098</v>
      </c>
      <c r="T11" s="10">
        <v>38.219438869909801</v>
      </c>
      <c r="U11" s="12">
        <v>1428.5993887320001</v>
      </c>
      <c r="V11" s="10">
        <v>1488.70067804309</v>
      </c>
      <c r="W11" s="12">
        <v>2402.2149766645898</v>
      </c>
      <c r="X11" s="10">
        <v>492.093823612439</v>
      </c>
      <c r="Y11" s="10">
        <v>801.34156684910295</v>
      </c>
      <c r="Z11" s="10">
        <v>153.31019638135601</v>
      </c>
      <c r="AA11" s="10">
        <v>94.007526710683607</v>
      </c>
      <c r="AB11" s="12">
        <v>631.05790122232895</v>
      </c>
      <c r="AC11" s="10">
        <v>225.43357870852699</v>
      </c>
      <c r="AD11" s="10">
        <v>28.835248462537098</v>
      </c>
      <c r="AE11" s="10">
        <v>2015.7128919567999</v>
      </c>
      <c r="AF11" s="10">
        <v>2902.9203909042499</v>
      </c>
      <c r="AG11" s="10">
        <v>23.922672629360601</v>
      </c>
      <c r="AH11" s="10">
        <v>0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s="1" customFormat="1" ht="20.100000000000001" customHeight="1">
      <c r="A12" s="8" t="s">
        <v>45</v>
      </c>
      <c r="B12" s="9">
        <v>4</v>
      </c>
      <c r="C12" s="10">
        <v>4905</v>
      </c>
      <c r="D12" s="11">
        <v>8.5</v>
      </c>
      <c r="E12" s="6">
        <f t="shared" si="0"/>
        <v>6.147750869923272E-2</v>
      </c>
      <c r="F12" s="5">
        <f t="shared" si="1"/>
        <v>5.1231257249360397E-4</v>
      </c>
      <c r="G12" s="10">
        <v>421.30669546899202</v>
      </c>
      <c r="H12" s="10">
        <v>629.72158149739596</v>
      </c>
      <c r="I12" s="10">
        <v>522.37012665303803</v>
      </c>
      <c r="J12" s="10">
        <v>192.93018536172301</v>
      </c>
      <c r="K12" s="10">
        <v>48.800018519468502</v>
      </c>
      <c r="L12" s="10">
        <v>89.472795951529307</v>
      </c>
      <c r="M12" s="10">
        <v>0</v>
      </c>
      <c r="N12" s="10">
        <v>27.1036497017969</v>
      </c>
      <c r="O12" s="10">
        <v>0</v>
      </c>
      <c r="P12" s="10">
        <v>10.145123852194599</v>
      </c>
      <c r="Q12" s="10">
        <v>0</v>
      </c>
      <c r="R12" s="10">
        <v>15.858285562072201</v>
      </c>
      <c r="S12" s="10">
        <v>7.6283413990369402</v>
      </c>
      <c r="T12" s="10">
        <v>39.783645381031199</v>
      </c>
      <c r="U12" s="10">
        <v>543.80931176377806</v>
      </c>
      <c r="V12" s="10">
        <v>116.41449332411401</v>
      </c>
      <c r="W12" s="10">
        <v>841.08916456479005</v>
      </c>
      <c r="X12" s="10">
        <v>260.99060255728699</v>
      </c>
      <c r="Y12" s="10">
        <v>324.09131978988802</v>
      </c>
      <c r="Z12" s="10">
        <v>65.104639719717795</v>
      </c>
      <c r="AA12" s="10">
        <v>82.921034463314399</v>
      </c>
      <c r="AB12" s="10">
        <v>400.10712902097998</v>
      </c>
      <c r="AC12" s="10">
        <v>80.692698874124105</v>
      </c>
      <c r="AD12" s="10">
        <v>11.918603445944401</v>
      </c>
      <c r="AE12" s="12">
        <v>1343.20174857709</v>
      </c>
      <c r="AF12" s="10">
        <v>1515.5380338098</v>
      </c>
      <c r="AG12" s="10">
        <v>0</v>
      </c>
      <c r="AH12" s="10">
        <v>0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 s="1" customFormat="1" ht="20.100000000000001" customHeight="1">
      <c r="A13" s="8"/>
      <c r="B13" s="9"/>
      <c r="C13" s="10"/>
      <c r="D13" s="11"/>
      <c r="E13" s="6"/>
      <c r="F13" s="5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5"/>
      <c r="AG13" s="10"/>
      <c r="AH13" s="10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s="1" customFormat="1" ht="20.100000000000001" customHeight="1">
      <c r="A14" s="8"/>
      <c r="B14" s="9"/>
      <c r="C14" s="10"/>
      <c r="D14" s="11"/>
      <c r="E14" s="6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2"/>
      <c r="X14" s="15"/>
      <c r="Y14" s="10"/>
      <c r="Z14" s="10"/>
      <c r="AA14" s="10"/>
      <c r="AB14" s="10"/>
      <c r="AC14" s="10"/>
      <c r="AD14" s="12"/>
      <c r="AE14" s="10"/>
      <c r="AF14" s="12"/>
      <c r="AG14" s="10"/>
      <c r="AH14" s="10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s="1" customFormat="1" ht="20.100000000000001" customHeight="1">
      <c r="A15" s="8"/>
      <c r="B15" s="9"/>
      <c r="C15" s="10"/>
      <c r="D15" s="11"/>
      <c r="E15" s="6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2"/>
      <c r="AF15" s="10"/>
      <c r="AG15" s="10"/>
      <c r="AH15" s="10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s="1" customFormat="1" ht="20.100000000000001" customHeight="1">
      <c r="A16" s="8"/>
      <c r="B16" s="9"/>
      <c r="C16" s="10"/>
      <c r="D16" s="11"/>
      <c r="E16" s="6"/>
      <c r="F16" s="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0"/>
      <c r="U16" s="10"/>
      <c r="V16" s="10"/>
      <c r="W16" s="12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s="1" customFormat="1" ht="20.100000000000001" customHeight="1">
      <c r="A17" s="8"/>
      <c r="B17" s="9"/>
      <c r="C17" s="10"/>
      <c r="D17" s="11"/>
      <c r="E17" s="6"/>
      <c r="F17" s="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2"/>
      <c r="Y17" s="10"/>
      <c r="Z17" s="10"/>
      <c r="AA17" s="10"/>
      <c r="AB17" s="10"/>
      <c r="AC17" s="10"/>
      <c r="AD17" s="10"/>
      <c r="AE17" s="10"/>
      <c r="AF17" s="12"/>
      <c r="AG17" s="10"/>
      <c r="AH17" s="10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s="1" customFormat="1" ht="20.100000000000001" customHeight="1">
      <c r="A18" s="8"/>
      <c r="B18" s="9"/>
      <c r="C18" s="10"/>
      <c r="D18" s="11"/>
      <c r="E18" s="6"/>
      <c r="F18" s="5"/>
      <c r="G18" s="10"/>
      <c r="H18" s="10"/>
      <c r="I18" s="12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5"/>
      <c r="AF18" s="12"/>
      <c r="AG18" s="10"/>
      <c r="AH18" s="10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s="1" customFormat="1" ht="20.100000000000001" customHeight="1">
      <c r="A19" s="8"/>
      <c r="B19" s="9"/>
      <c r="C19" s="10"/>
      <c r="D19" s="11"/>
      <c r="E19" s="6"/>
      <c r="F19" s="5"/>
      <c r="G19" s="10"/>
      <c r="H19" s="12"/>
      <c r="I19" s="12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2"/>
      <c r="V19" s="10"/>
      <c r="W19" s="12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s="1" customFormat="1" ht="20.100000000000001" customHeight="1">
      <c r="A20" s="8"/>
      <c r="B20" s="9"/>
      <c r="C20" s="10"/>
      <c r="D20" s="11"/>
      <c r="E20" s="6"/>
      <c r="F20" s="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2"/>
      <c r="V20" s="12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s="1" customFormat="1" ht="20.100000000000001" customHeight="1">
      <c r="A21" s="8"/>
      <c r="B21" s="9"/>
      <c r="C21" s="10"/>
      <c r="D21" s="11"/>
      <c r="E21" s="6"/>
      <c r="F21" s="5"/>
      <c r="G21" s="12"/>
      <c r="H21" s="10"/>
      <c r="I21" s="12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2"/>
      <c r="X21" s="12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s="1" customFormat="1" ht="20.100000000000001" customHeight="1">
      <c r="A22" s="8"/>
      <c r="B22" s="9"/>
      <c r="C22" s="10"/>
      <c r="D22" s="11"/>
      <c r="E22" s="6"/>
      <c r="F22" s="5"/>
      <c r="G22" s="10"/>
      <c r="H22" s="12"/>
      <c r="I22" s="15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2"/>
      <c r="W22" s="10"/>
      <c r="X22" s="10"/>
      <c r="Y22" s="10"/>
      <c r="Z22" s="10"/>
      <c r="AA22" s="10"/>
      <c r="AB22" s="10"/>
      <c r="AC22" s="10"/>
      <c r="AD22" s="10"/>
      <c r="AE22" s="10"/>
      <c r="AF22" s="12"/>
      <c r="AG22" s="10"/>
      <c r="AH22" s="10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s="1" customFormat="1" ht="20.100000000000001" customHeight="1">
      <c r="A23" s="8"/>
      <c r="B23" s="9"/>
      <c r="C23" s="10"/>
      <c r="D23" s="11"/>
      <c r="E23" s="6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2"/>
      <c r="AG23" s="10"/>
      <c r="AH23" s="10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s="1" customFormat="1" ht="20.100000000000001" customHeight="1">
      <c r="A24" s="8"/>
      <c r="B24" s="9"/>
      <c r="C24" s="10"/>
      <c r="D24" s="11"/>
      <c r="E24" s="6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s="1" customFormat="1" ht="20.100000000000001" customHeight="1">
      <c r="A25" s="8"/>
      <c r="B25" s="9"/>
      <c r="C25" s="10"/>
      <c r="D25" s="11"/>
      <c r="E25" s="6"/>
      <c r="F25" s="5"/>
      <c r="G25" s="10"/>
      <c r="H25" s="10"/>
      <c r="I25" s="12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2"/>
      <c r="V25" s="10"/>
      <c r="W25" s="12"/>
      <c r="X25" s="10"/>
      <c r="Y25" s="10"/>
      <c r="Z25" s="10"/>
      <c r="AA25" s="10"/>
      <c r="AB25" s="10"/>
      <c r="AC25" s="10"/>
      <c r="AD25" s="10"/>
      <c r="AE25" s="10"/>
      <c r="AF25" s="12"/>
      <c r="AG25" s="10"/>
      <c r="AH25" s="10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:44" s="1" customFormat="1" ht="20.100000000000001" customHeight="1">
      <c r="A26" s="8"/>
      <c r="B26" s="9"/>
      <c r="C26" s="10"/>
      <c r="D26" s="11"/>
      <c r="E26" s="6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5"/>
      <c r="AA26" s="10"/>
      <c r="AB26" s="10"/>
      <c r="AC26" s="10"/>
      <c r="AD26" s="10"/>
      <c r="AE26" s="10"/>
      <c r="AF26" s="10"/>
      <c r="AG26" s="10"/>
      <c r="AH26" s="10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s="1" customFormat="1" ht="20.100000000000001" customHeight="1">
      <c r="A27" s="8"/>
      <c r="B27" s="9"/>
      <c r="C27" s="10"/>
      <c r="D27" s="11"/>
      <c r="E27" s="6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2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s="1" customFormat="1" ht="20.100000000000001" customHeight="1">
      <c r="A28" s="8"/>
      <c r="B28" s="9"/>
      <c r="C28" s="10"/>
      <c r="D28" s="11"/>
      <c r="E28" s="6"/>
      <c r="F28" s="5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2"/>
      <c r="W28" s="10"/>
      <c r="X28" s="12"/>
      <c r="Y28" s="10"/>
      <c r="Z28" s="10"/>
      <c r="AA28" s="10"/>
      <c r="AB28" s="10"/>
      <c r="AC28" s="10"/>
      <c r="AD28" s="10"/>
      <c r="AE28" s="10"/>
      <c r="AF28" s="12"/>
      <c r="AG28" s="10"/>
      <c r="AH28" s="10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s="1" customFormat="1" ht="20.100000000000001" customHeight="1">
      <c r="A29" s="8"/>
      <c r="B29" s="9"/>
      <c r="C29" s="10"/>
      <c r="D29" s="11"/>
      <c r="E29" s="6"/>
      <c r="F29" s="5"/>
      <c r="G29" s="10"/>
      <c r="H29" s="10"/>
      <c r="I29" s="10"/>
      <c r="J29" s="1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2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spans="1:44" s="1" customFormat="1" ht="20.100000000000001" customHeight="1">
      <c r="A30" s="8"/>
      <c r="B30" s="9"/>
      <c r="C30" s="10"/>
      <c r="D30" s="11"/>
      <c r="E30" s="6"/>
      <c r="F30" s="5"/>
      <c r="G30" s="10"/>
      <c r="H30" s="10"/>
      <c r="I30" s="12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 spans="1:44" s="1" customFormat="1" ht="20.100000000000001" customHeight="1">
      <c r="A31" s="8"/>
      <c r="B31" s="9"/>
      <c r="C31" s="10"/>
      <c r="D31" s="11"/>
      <c r="E31" s="6"/>
      <c r="F31" s="5"/>
      <c r="G31" s="10"/>
      <c r="H31" s="10"/>
      <c r="I31" s="10"/>
      <c r="J31" s="12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2"/>
      <c r="W31" s="12"/>
      <c r="X31" s="10"/>
      <c r="Y31" s="10"/>
      <c r="Z31" s="10"/>
      <c r="AA31" s="10"/>
      <c r="AB31" s="10"/>
      <c r="AC31" s="12"/>
      <c r="AD31" s="10"/>
      <c r="AE31" s="10"/>
      <c r="AF31" s="12"/>
      <c r="AG31" s="10"/>
      <c r="AH31" s="10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spans="1:44" s="1" customFormat="1" ht="20.100000000000001" customHeight="1">
      <c r="A32" s="8"/>
      <c r="B32" s="9"/>
      <c r="C32" s="10"/>
      <c r="D32" s="11"/>
      <c r="E32" s="6"/>
      <c r="F32" s="5"/>
      <c r="G32" s="10"/>
      <c r="H32" s="10"/>
      <c r="I32" s="12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2"/>
      <c r="X32" s="12"/>
      <c r="Y32" s="10"/>
      <c r="Z32" s="10"/>
      <c r="AA32" s="10"/>
      <c r="AB32" s="10"/>
      <c r="AC32" s="10"/>
      <c r="AD32" s="10"/>
      <c r="AE32" s="10"/>
      <c r="AF32" s="15"/>
      <c r="AG32" s="10"/>
      <c r="AH32" s="10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s="1" customFormat="1" ht="20.100000000000001" customHeight="1">
      <c r="A33" s="8"/>
      <c r="B33" s="9"/>
      <c r="C33" s="10"/>
      <c r="D33" s="11"/>
      <c r="E33" s="6"/>
      <c r="F33" s="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2"/>
      <c r="V33" s="10"/>
      <c r="W33" s="10"/>
      <c r="X33" s="12"/>
      <c r="Y33" s="10"/>
      <c r="Z33" s="15"/>
      <c r="AA33" s="10"/>
      <c r="AB33" s="10"/>
      <c r="AC33" s="10"/>
      <c r="AD33" s="10"/>
      <c r="AE33" s="10"/>
      <c r="AF33" s="12"/>
      <c r="AG33" s="10"/>
      <c r="AH33" s="10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:44" s="1" customFormat="1" ht="20.100000000000001" customHeight="1">
      <c r="A34" s="8"/>
      <c r="B34" s="9"/>
      <c r="C34" s="10"/>
      <c r="D34" s="11"/>
      <c r="E34" s="6"/>
      <c r="F34" s="5"/>
      <c r="G34" s="10"/>
      <c r="H34" s="10"/>
      <c r="I34" s="12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5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 spans="1:44" s="1" customFormat="1" ht="20.100000000000001" customHeight="1">
      <c r="A35" s="8"/>
      <c r="B35" s="9"/>
      <c r="C35" s="10"/>
      <c r="D35" s="11"/>
      <c r="E35" s="6"/>
      <c r="F35" s="5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2"/>
      <c r="AG35" s="10"/>
      <c r="AH35" s="10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 spans="1:44" s="1" customFormat="1" ht="20.100000000000001" customHeight="1">
      <c r="A36" s="8"/>
      <c r="B36" s="9"/>
      <c r="C36" s="10"/>
      <c r="D36" s="11"/>
      <c r="E36" s="6"/>
      <c r="F36" s="5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5"/>
      <c r="W36" s="12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5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 spans="1:44" s="1" customFormat="1" ht="20.100000000000001" customHeight="1">
      <c r="A37" s="8"/>
      <c r="B37" s="9"/>
      <c r="C37" s="10"/>
      <c r="D37" s="11"/>
      <c r="E37" s="6"/>
      <c r="F37" s="5"/>
      <c r="G37" s="10"/>
      <c r="H37" s="10"/>
      <c r="I37" s="10"/>
      <c r="J37" s="1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2"/>
      <c r="AF37" s="10"/>
      <c r="AG37" s="10"/>
      <c r="AH37" s="10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 spans="1:44" s="1" customFormat="1" ht="20.100000000000001" customHeight="1">
      <c r="A38" s="8"/>
      <c r="B38" s="9"/>
      <c r="C38" s="10"/>
      <c r="D38" s="11"/>
      <c r="E38" s="6"/>
      <c r="F38" s="5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 spans="1:44" s="1" customFormat="1" ht="20.100000000000001" customHeight="1">
      <c r="A39" s="8"/>
      <c r="B39" s="9"/>
      <c r="C39" s="10"/>
      <c r="D39" s="11"/>
      <c r="E39" s="6"/>
      <c r="F39" s="5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2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s="1" customFormat="1" ht="20.100000000000001" customHeight="1">
      <c r="A40" s="8"/>
      <c r="B40" s="9"/>
      <c r="C40" s="10"/>
      <c r="D40" s="11"/>
      <c r="E40" s="6"/>
      <c r="F40" s="5"/>
      <c r="G40" s="12"/>
      <c r="H40" s="10"/>
      <c r="I40" s="15"/>
      <c r="J40" s="12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2"/>
      <c r="W40" s="10"/>
      <c r="X40" s="10"/>
      <c r="Y40" s="10"/>
      <c r="Z40" s="10"/>
      <c r="AA40" s="10"/>
      <c r="AB40" s="10"/>
      <c r="AC40" s="10"/>
      <c r="AD40" s="10"/>
      <c r="AE40" s="12"/>
      <c r="AF40" s="10"/>
      <c r="AG40" s="10"/>
      <c r="AH40" s="10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s="1" customFormat="1" ht="20.100000000000001" customHeight="1">
      <c r="A41" s="8"/>
      <c r="B41" s="9"/>
      <c r="C41" s="10"/>
      <c r="D41" s="11"/>
      <c r="E41" s="6"/>
      <c r="F41" s="5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2"/>
      <c r="Y41" s="12"/>
      <c r="Z41" s="10"/>
      <c r="AA41" s="10"/>
      <c r="AB41" s="10"/>
      <c r="AC41" s="10"/>
      <c r="AD41" s="10"/>
      <c r="AE41" s="10"/>
      <c r="AF41" s="12"/>
      <c r="AG41" s="10"/>
      <c r="AH41" s="10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s="1" customFormat="1" ht="20.100000000000001" customHeight="1">
      <c r="A42" s="8"/>
      <c r="B42" s="9"/>
      <c r="C42" s="10"/>
      <c r="D42" s="11"/>
      <c r="E42" s="6"/>
      <c r="F42" s="5"/>
      <c r="G42" s="10"/>
      <c r="H42" s="10"/>
      <c r="I42" s="1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2"/>
      <c r="AD42" s="10"/>
      <c r="AE42" s="10"/>
      <c r="AF42" s="10"/>
      <c r="AG42" s="10"/>
      <c r="AH42" s="10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 spans="1:44" s="1" customFormat="1" ht="20.100000000000001" customHeight="1">
      <c r="A43" s="8"/>
      <c r="B43" s="9"/>
      <c r="C43" s="10"/>
      <c r="D43" s="11"/>
      <c r="E43" s="6"/>
      <c r="F43" s="5"/>
      <c r="G43" s="10"/>
      <c r="H43" s="10"/>
      <c r="I43" s="1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 spans="1:44" s="1" customFormat="1" ht="20.100000000000001" customHeight="1">
      <c r="A44" s="8"/>
      <c r="B44" s="9"/>
      <c r="C44" s="10"/>
      <c r="D44" s="11"/>
      <c r="E44" s="6"/>
      <c r="F44" s="5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2"/>
      <c r="AF44" s="10"/>
      <c r="AG44" s="10"/>
      <c r="AH44" s="10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 spans="1:44" s="1" customFormat="1" ht="20.100000000000001" customHeight="1">
      <c r="A45" s="8"/>
      <c r="B45" s="9"/>
      <c r="C45" s="10"/>
      <c r="D45" s="11"/>
      <c r="E45" s="6"/>
      <c r="F45" s="5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2"/>
      <c r="X45" s="12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s="1" customFormat="1" ht="20.100000000000001" customHeight="1">
      <c r="A46" s="8"/>
      <c r="B46" s="9"/>
      <c r="C46" s="10"/>
      <c r="D46" s="11"/>
      <c r="E46" s="6"/>
      <c r="F46" s="5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2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 spans="1:44" s="1" customFormat="1" ht="20.100000000000001" customHeight="1">
      <c r="A47" s="8"/>
      <c r="B47" s="9"/>
      <c r="C47" s="10"/>
      <c r="D47" s="14"/>
      <c r="E47" s="6"/>
      <c r="F47" s="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2"/>
      <c r="X47" s="10"/>
      <c r="Y47" s="10"/>
      <c r="Z47" s="10"/>
      <c r="AA47" s="10"/>
      <c r="AB47" s="12"/>
      <c r="AC47" s="10"/>
      <c r="AD47" s="10"/>
      <c r="AE47" s="10"/>
      <c r="AF47" s="10"/>
      <c r="AG47" s="10"/>
      <c r="AH47" s="10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 spans="1:44" s="1" customFormat="1" ht="20.100000000000001" customHeight="1">
      <c r="A48" s="8"/>
      <c r="B48" s="9"/>
      <c r="C48" s="10"/>
      <c r="D48" s="11"/>
      <c r="E48" s="6"/>
      <c r="F48" s="5"/>
      <c r="G48" s="10"/>
      <c r="H48" s="10"/>
      <c r="I48" s="12"/>
      <c r="J48" s="10"/>
      <c r="K48" s="10"/>
      <c r="L48" s="10"/>
      <c r="M48" s="10"/>
      <c r="N48" s="10"/>
      <c r="O48" s="10"/>
      <c r="P48" s="10"/>
      <c r="Q48" s="10"/>
      <c r="R48" s="15"/>
      <c r="S48" s="10"/>
      <c r="T48" s="10"/>
      <c r="U48" s="10"/>
      <c r="V48" s="10"/>
      <c r="W48" s="12"/>
      <c r="X48" s="10"/>
      <c r="Y48" s="12"/>
      <c r="Z48" s="10"/>
      <c r="AA48" s="10"/>
      <c r="AB48" s="10"/>
      <c r="AC48" s="10"/>
      <c r="AD48" s="10"/>
      <c r="AE48" s="10"/>
      <c r="AF48" s="12"/>
      <c r="AG48" s="10"/>
      <c r="AH48" s="10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s="1" customFormat="1" ht="20.100000000000001" customHeight="1">
      <c r="A49" s="8"/>
      <c r="B49" s="9"/>
      <c r="C49" s="10"/>
      <c r="D49" s="11"/>
      <c r="E49" s="6"/>
      <c r="F49" s="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2"/>
      <c r="W49" s="12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s="1" customFormat="1" ht="20.100000000000001" customHeight="1">
      <c r="A50" s="8"/>
      <c r="B50" s="9"/>
      <c r="C50" s="10"/>
      <c r="D50" s="11"/>
      <c r="E50" s="6"/>
      <c r="F50" s="5"/>
      <c r="G50" s="12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2"/>
      <c r="AD50" s="10"/>
      <c r="AE50" s="10"/>
      <c r="AF50" s="10"/>
      <c r="AG50" s="10"/>
      <c r="AH50" s="10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s="1" customFormat="1" ht="20.100000000000001" customHeight="1">
      <c r="A51" s="8"/>
      <c r="B51" s="9"/>
      <c r="C51" s="10"/>
      <c r="D51" s="11"/>
      <c r="E51" s="6"/>
      <c r="F51" s="5"/>
      <c r="G51" s="15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2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2"/>
      <c r="AG51" s="10"/>
      <c r="AH51" s="10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 spans="1:44" s="1" customFormat="1" ht="20.100000000000001" customHeight="1">
      <c r="A52" s="8"/>
      <c r="B52" s="9"/>
      <c r="C52" s="10"/>
      <c r="D52" s="11"/>
      <c r="E52" s="6"/>
      <c r="F52" s="5"/>
      <c r="G52" s="10"/>
      <c r="H52" s="10"/>
      <c r="I52" s="1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2"/>
      <c r="X52" s="12"/>
      <c r="Y52" s="10"/>
      <c r="Z52" s="10"/>
      <c r="AA52" s="10"/>
      <c r="AB52" s="10"/>
      <c r="AC52" s="10"/>
      <c r="AD52" s="10"/>
      <c r="AE52" s="10"/>
      <c r="AF52" s="12"/>
      <c r="AG52" s="10"/>
      <c r="AH52" s="10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 spans="1:44" s="1" customFormat="1" ht="20.100000000000001" customHeight="1">
      <c r="A53" s="8"/>
      <c r="B53" s="9"/>
      <c r="C53" s="10"/>
      <c r="D53" s="11"/>
      <c r="E53" s="6"/>
      <c r="F53" s="5"/>
      <c r="G53" s="10"/>
      <c r="H53" s="10"/>
      <c r="I53" s="10"/>
      <c r="J53" s="10"/>
      <c r="K53" s="10"/>
      <c r="L53" s="10"/>
      <c r="M53" s="10"/>
      <c r="N53" s="10"/>
      <c r="O53" s="10"/>
      <c r="P53" s="12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 spans="1:44" s="1" customFormat="1" ht="20.100000000000001" customHeight="1">
      <c r="A54" s="8"/>
      <c r="B54" s="9"/>
      <c r="C54" s="10"/>
      <c r="D54" s="11"/>
      <c r="E54" s="6"/>
      <c r="F54" s="5"/>
      <c r="G54" s="10"/>
      <c r="H54" s="10"/>
      <c r="I54" s="1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2"/>
      <c r="X54" s="10"/>
      <c r="Y54" s="12"/>
      <c r="Z54" s="10"/>
      <c r="AA54" s="10"/>
      <c r="AB54" s="10"/>
      <c r="AC54" s="10"/>
      <c r="AD54" s="10"/>
      <c r="AE54" s="10"/>
      <c r="AF54" s="12"/>
      <c r="AG54" s="10"/>
      <c r="AH54" s="10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 spans="1:44" s="1" customFormat="1" ht="20.100000000000001" customHeight="1">
      <c r="A55" s="8"/>
      <c r="B55" s="9"/>
      <c r="C55" s="10"/>
      <c r="D55" s="11"/>
      <c r="E55" s="6"/>
      <c r="F55" s="5"/>
      <c r="G55" s="10"/>
      <c r="H55" s="12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2"/>
      <c r="W55" s="10"/>
      <c r="X55" s="10"/>
      <c r="Y55" s="10"/>
      <c r="Z55" s="10"/>
      <c r="AA55" s="10"/>
      <c r="AB55" s="10"/>
      <c r="AC55" s="10"/>
      <c r="AD55" s="10"/>
      <c r="AE55" s="10"/>
      <c r="AF55" s="12"/>
      <c r="AG55" s="10"/>
      <c r="AH55" s="10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 spans="1:44" s="1" customFormat="1" ht="20.100000000000001" customHeight="1">
      <c r="A56" s="8"/>
      <c r="B56" s="9"/>
      <c r="C56" s="10"/>
      <c r="D56" s="11"/>
      <c r="E56" s="6"/>
      <c r="F56" s="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44" s="1" customFormat="1" ht="20.100000000000001" customHeight="1">
      <c r="A57" s="8"/>
      <c r="B57" s="9"/>
      <c r="C57" s="10"/>
      <c r="D57" s="11"/>
      <c r="E57" s="6"/>
      <c r="F57" s="5"/>
      <c r="G57" s="10"/>
      <c r="H57" s="10"/>
      <c r="I57" s="1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2"/>
      <c r="X57" s="10"/>
      <c r="Y57" s="10"/>
      <c r="Z57" s="10"/>
      <c r="AA57" s="10"/>
      <c r="AB57" s="10"/>
      <c r="AC57" s="10"/>
      <c r="AD57" s="10"/>
      <c r="AE57" s="10"/>
      <c r="AF57" s="12"/>
      <c r="AG57" s="10"/>
      <c r="AH57" s="10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 spans="1:44" s="1" customFormat="1" ht="20.100000000000001" customHeight="1">
      <c r="A58" s="8"/>
      <c r="B58" s="9"/>
      <c r="C58" s="10"/>
      <c r="D58" s="11"/>
      <c r="E58" s="6"/>
      <c r="F58" s="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 spans="1:44" s="1" customFormat="1" ht="20.100000000000001" customHeight="1">
      <c r="A59" s="8"/>
      <c r="B59" s="9"/>
      <c r="C59" s="10"/>
      <c r="D59" s="11"/>
      <c r="E59" s="6"/>
      <c r="F59" s="5"/>
      <c r="G59" s="10"/>
      <c r="H59" s="10"/>
      <c r="I59" s="10"/>
      <c r="J59" s="12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2"/>
      <c r="AA59" s="10"/>
      <c r="AB59" s="10"/>
      <c r="AC59" s="10"/>
      <c r="AD59" s="10"/>
      <c r="AE59" s="10"/>
      <c r="AF59" s="12"/>
      <c r="AG59" s="10"/>
      <c r="AH59" s="10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 spans="1:44" s="1" customFormat="1" ht="20.100000000000001" customHeight="1">
      <c r="A60" s="8"/>
      <c r="B60" s="9"/>
      <c r="C60" s="10"/>
      <c r="D60" s="11"/>
      <c r="E60" s="6"/>
      <c r="F60" s="5"/>
      <c r="G60" s="10"/>
      <c r="H60" s="10"/>
      <c r="I60" s="1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2"/>
      <c r="AG60" s="10"/>
      <c r="AH60" s="10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 spans="1:44" s="1" customFormat="1" ht="20.100000000000001" customHeight="1">
      <c r="A61" s="8"/>
      <c r="B61" s="9"/>
      <c r="C61" s="10"/>
      <c r="D61" s="11"/>
      <c r="E61" s="6"/>
      <c r="F61" s="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2"/>
      <c r="X61" s="10"/>
      <c r="Y61" s="10"/>
      <c r="Z61" s="10"/>
      <c r="AA61" s="10"/>
      <c r="AB61" s="10"/>
      <c r="AC61" s="10"/>
      <c r="AD61" s="10"/>
      <c r="AE61" s="10"/>
      <c r="AF61" s="12"/>
      <c r="AG61" s="10"/>
      <c r="AH61" s="10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 spans="1:44" s="1" customFormat="1" ht="20.100000000000001" customHeight="1">
      <c r="A62" s="8"/>
      <c r="B62" s="9"/>
      <c r="C62" s="10"/>
      <c r="D62" s="11"/>
      <c r="E62" s="6"/>
      <c r="F62" s="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2"/>
      <c r="AG62" s="10"/>
      <c r="AH62" s="10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 spans="1:44" s="1" customFormat="1" ht="20.100000000000001" customHeight="1">
      <c r="A63" s="8"/>
      <c r="B63" s="9"/>
      <c r="C63" s="10"/>
      <c r="D63" s="11"/>
      <c r="E63" s="6"/>
      <c r="F63" s="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2"/>
      <c r="AG63" s="10"/>
      <c r="AH63" s="10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 spans="1:44" s="1" customFormat="1" ht="20.100000000000001" customHeight="1">
      <c r="A64" s="8"/>
      <c r="B64" s="9"/>
      <c r="C64" s="10"/>
      <c r="D64" s="11"/>
      <c r="E64" s="6"/>
      <c r="F64" s="5"/>
      <c r="G64" s="10"/>
      <c r="H64" s="10"/>
      <c r="I64" s="12"/>
      <c r="J64" s="10"/>
      <c r="K64" s="12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 spans="1:44" s="1" customFormat="1" ht="20.100000000000001" customHeight="1">
      <c r="A65" s="8"/>
      <c r="B65" s="9"/>
      <c r="C65" s="10"/>
      <c r="D65" s="11"/>
      <c r="E65" s="6"/>
      <c r="F65" s="5"/>
      <c r="G65" s="10"/>
      <c r="H65" s="10"/>
      <c r="I65" s="1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 spans="1:44" s="1" customFormat="1" ht="20.100000000000001" customHeight="1">
      <c r="A66" s="8"/>
      <c r="B66" s="9"/>
      <c r="C66" s="10"/>
      <c r="D66" s="11"/>
      <c r="E66" s="6"/>
      <c r="F66" s="5"/>
      <c r="G66" s="10"/>
      <c r="H66" s="10"/>
      <c r="I66" s="1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2"/>
      <c r="W66" s="12"/>
      <c r="X66" s="10"/>
      <c r="Y66" s="12"/>
      <c r="Z66" s="10"/>
      <c r="AA66" s="10"/>
      <c r="AB66" s="10"/>
      <c r="AC66" s="10"/>
      <c r="AD66" s="10"/>
      <c r="AE66" s="10"/>
      <c r="AF66" s="12"/>
      <c r="AG66" s="10"/>
      <c r="AH66" s="10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 spans="1:44" s="1" customFormat="1" ht="20.100000000000001" customHeight="1">
      <c r="A67" s="8"/>
      <c r="B67" s="9"/>
      <c r="C67" s="10"/>
      <c r="D67" s="11"/>
      <c r="E67" s="6"/>
      <c r="F67" s="5"/>
      <c r="G67" s="15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2"/>
      <c r="Y67" s="10"/>
      <c r="Z67" s="12"/>
      <c r="AA67" s="10"/>
      <c r="AB67" s="10"/>
      <c r="AC67" s="10"/>
      <c r="AD67" s="10"/>
      <c r="AE67" s="10"/>
      <c r="AF67" s="10"/>
      <c r="AG67" s="10"/>
      <c r="AH67" s="10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 spans="1:44" s="1" customFormat="1" ht="20.100000000000001" customHeight="1">
      <c r="A68" s="8"/>
      <c r="B68" s="9"/>
      <c r="C68" s="10"/>
      <c r="D68" s="11"/>
      <c r="E68" s="6"/>
      <c r="F68" s="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2"/>
      <c r="AG68" s="10"/>
      <c r="AH68" s="10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 spans="1:44" s="1" customFormat="1" ht="20.100000000000001" customHeight="1">
      <c r="A69" s="8"/>
      <c r="B69" s="9"/>
      <c r="C69" s="10"/>
      <c r="D69" s="11"/>
      <c r="E69" s="6"/>
      <c r="F69" s="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 spans="1:44" s="1" customFormat="1" ht="20.100000000000001" customHeight="1">
      <c r="A70" s="8"/>
      <c r="B70" s="9"/>
      <c r="C70" s="10"/>
      <c r="D70" s="11"/>
      <c r="E70" s="6"/>
      <c r="F70" s="5"/>
      <c r="G70" s="16"/>
      <c r="H70" s="10"/>
      <c r="I70" s="12"/>
      <c r="J70" s="10"/>
      <c r="K70" s="16"/>
      <c r="L70" s="10"/>
      <c r="M70" s="10"/>
      <c r="N70" s="10"/>
      <c r="O70" s="10"/>
      <c r="P70" s="10"/>
      <c r="Q70" s="10"/>
      <c r="R70" s="10"/>
      <c r="S70" s="10"/>
      <c r="T70" s="10"/>
      <c r="U70" s="16"/>
      <c r="V70" s="16"/>
      <c r="W70" s="12"/>
      <c r="X70" s="16"/>
      <c r="Y70" s="12"/>
      <c r="Z70" s="10"/>
      <c r="AA70" s="10"/>
      <c r="AB70" s="10"/>
      <c r="AC70" s="10"/>
      <c r="AD70" s="10"/>
      <c r="AE70" s="10"/>
      <c r="AF70" s="16"/>
      <c r="AG70" s="10"/>
      <c r="AH70" s="10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CE69-E03E-49C5-AAFF-21DC4F052019}">
  <dimension ref="A1:A4"/>
  <sheetViews>
    <sheetView workbookViewId="0">
      <selection activeCell="A13" sqref="A13"/>
    </sheetView>
  </sheetViews>
  <sheetFormatPr defaultRowHeight="13.2"/>
  <cols>
    <col min="1" max="1" width="80.88671875" customWidth="1"/>
  </cols>
  <sheetData>
    <row r="1" spans="1:1" ht="26.4">
      <c r="A1" s="17" t="s">
        <v>48</v>
      </c>
    </row>
    <row r="2" spans="1:1">
      <c r="A2" s="18"/>
    </row>
    <row r="3" spans="1:1">
      <c r="A3" s="18" t="s">
        <v>50</v>
      </c>
    </row>
    <row r="4" spans="1:1">
      <c r="A4" s="1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Kruijt, A.L. (Anne)</dc:creator>
  <cp:lastModifiedBy>Kruijt, A.L. (Anne)</cp:lastModifiedBy>
  <dcterms:created xsi:type="dcterms:W3CDTF">2024-11-14T15:31:21Z</dcterms:created>
  <dcterms:modified xsi:type="dcterms:W3CDTF">2025-07-18T11:49:41Z</dcterms:modified>
</cp:coreProperties>
</file>