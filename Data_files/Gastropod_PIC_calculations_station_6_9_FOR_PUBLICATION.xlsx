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olisservices-my.sharepoint.com/personal/a_l_kruijt_uu_nl/Documents/ANNE PhD current work/Chapter 2 Data paper pankton/excelsheets/for paper/"/>
    </mc:Choice>
  </mc:AlternateContent>
  <xr:revisionPtr revIDLastSave="169" documentId="8_{5202234C-9BB6-4AA5-A238-A3407C88D448}" xr6:coauthVersionLast="47" xr6:coauthVersionMax="47" xr10:uidLastSave="{9C56EA75-0644-4883-AF2F-C6FA999CE5BA}"/>
  <bookViews>
    <workbookView xWindow="-108" yWindow="-108" windowWidth="23256" windowHeight="12576" activeTab="2" xr2:uid="{AAAD8085-0E21-46C3-B887-79768D17C7B8}"/>
  </bookViews>
  <sheets>
    <sheet name="info" sheetId="3" r:id="rId1"/>
    <sheet name="calculations full shells" sheetId="8" r:id="rId2"/>
    <sheet name="calculations empty shells"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9" l="1"/>
  <c r="B38" i="9"/>
  <c r="C33" i="9" l="1"/>
  <c r="C35" i="9"/>
  <c r="C29" i="9"/>
  <c r="C28" i="9"/>
  <c r="B42" i="8"/>
  <c r="C40" i="8" s="1"/>
  <c r="B43" i="8"/>
  <c r="C34" i="8" s="1"/>
  <c r="Q9" i="8"/>
  <c r="Q20" i="8"/>
  <c r="Q21" i="8"/>
  <c r="P9" i="8"/>
  <c r="R9" i="8" s="1"/>
  <c r="O25" i="8"/>
  <c r="Q25" i="8" s="1"/>
  <c r="S25" i="8" s="1"/>
  <c r="N25" i="8"/>
  <c r="P25" i="8" s="1"/>
  <c r="R25" i="8" s="1"/>
  <c r="O13" i="8"/>
  <c r="Q13" i="8" s="1"/>
  <c r="N13" i="8"/>
  <c r="P13" i="8" s="1"/>
  <c r="R13" i="8" s="1"/>
  <c r="O8" i="8"/>
  <c r="Q8" i="8" s="1"/>
  <c r="N8" i="8"/>
  <c r="P8" i="8" s="1"/>
  <c r="R8" i="8" s="1"/>
  <c r="O12" i="8"/>
  <c r="Q12" i="8" s="1"/>
  <c r="S12" i="8" s="1"/>
  <c r="O14" i="8"/>
  <c r="Q14" i="8" s="1"/>
  <c r="S14" i="8" s="1"/>
  <c r="C30" i="9" l="1"/>
  <c r="C31" i="9"/>
  <c r="C32" i="9"/>
  <c r="C34" i="9"/>
  <c r="S21" i="8"/>
  <c r="S20" i="8"/>
  <c r="S13" i="8"/>
  <c r="C35" i="8"/>
  <c r="C36" i="8"/>
  <c r="C39" i="8"/>
  <c r="C37" i="8"/>
  <c r="C38" i="8"/>
  <c r="S9" i="8"/>
  <c r="C33" i="8"/>
  <c r="S8" i="8"/>
  <c r="O24" i="8"/>
  <c r="Q24" i="8" s="1"/>
  <c r="S24" i="8" s="1"/>
  <c r="O26" i="8"/>
  <c r="Q26" i="8" s="1"/>
  <c r="S26" i="8" s="1"/>
  <c r="O27" i="8"/>
  <c r="Q27" i="8" s="1"/>
  <c r="S27" i="8" s="1"/>
  <c r="N24" i="8"/>
  <c r="P24" i="8" s="1"/>
  <c r="R24" i="8" s="1"/>
  <c r="N26" i="8"/>
  <c r="P26" i="8" s="1"/>
  <c r="R26" i="8" s="1"/>
  <c r="N27" i="8"/>
  <c r="P27" i="8" s="1"/>
  <c r="R27" i="8" s="1"/>
  <c r="O19" i="8"/>
  <c r="Q19" i="8" s="1"/>
  <c r="S19" i="8" s="1"/>
  <c r="O18" i="8"/>
  <c r="Q18" i="8" s="1"/>
  <c r="S18" i="8" s="1"/>
  <c r="N12" i="8"/>
  <c r="P12" i="8" s="1"/>
  <c r="R12" i="8" s="1"/>
  <c r="N14" i="8"/>
  <c r="P14" i="8" s="1"/>
  <c r="R14" i="8" s="1"/>
  <c r="N15" i="8"/>
  <c r="P15" i="8" s="1"/>
  <c r="R15" i="8" s="1"/>
  <c r="O15" i="8"/>
  <c r="Q15" i="8" s="1"/>
  <c r="S15" i="8" s="1"/>
  <c r="N18" i="8"/>
  <c r="P18" i="8" s="1"/>
  <c r="R18" i="8" s="1"/>
  <c r="N19" i="8"/>
  <c r="P19" i="8" s="1"/>
  <c r="R19" i="8" s="1"/>
  <c r="N20" i="8"/>
  <c r="P20" i="8" s="1"/>
  <c r="R20" i="8" s="1"/>
  <c r="N21" i="8"/>
  <c r="P21" i="8" s="1"/>
  <c r="R21" i="8" s="1"/>
  <c r="O6" i="8"/>
  <c r="Q6" i="8" s="1"/>
  <c r="S6" i="8" s="1"/>
  <c r="O7" i="8"/>
  <c r="Q7" i="8" s="1"/>
  <c r="S7" i="8" s="1"/>
  <c r="N7" i="8"/>
  <c r="P7" i="8" s="1"/>
  <c r="R7" i="8" s="1"/>
  <c r="N6" i="8"/>
  <c r="P6" i="8" s="1"/>
  <c r="R6" i="8" s="1"/>
  <c r="K23" i="8" l="1"/>
  <c r="K17" i="8"/>
  <c r="K11" i="8"/>
  <c r="K5" i="8"/>
  <c r="J23" i="8"/>
  <c r="J17" i="8"/>
  <c r="J11" i="8"/>
  <c r="J5" i="8"/>
  <c r="O17" i="8" l="1"/>
  <c r="Q17" i="8" s="1"/>
  <c r="S17" i="8" s="1"/>
  <c r="N17" i="8"/>
  <c r="P17" i="8" s="1"/>
  <c r="R17" i="8" s="1"/>
  <c r="O5" i="8"/>
  <c r="Q5" i="8" s="1"/>
  <c r="S5" i="8" s="1"/>
  <c r="N5" i="8"/>
  <c r="P5" i="8" s="1"/>
  <c r="R5" i="8" s="1"/>
  <c r="N23" i="8"/>
  <c r="P23" i="8" s="1"/>
  <c r="R23" i="8" s="1"/>
  <c r="O23" i="8"/>
  <c r="Q23" i="8" s="1"/>
  <c r="S23" i="8" s="1"/>
  <c r="O11" i="8"/>
  <c r="Q11" i="8" s="1"/>
  <c r="S11" i="8" s="1"/>
  <c r="N11" i="8"/>
  <c r="P11" i="8" s="1"/>
  <c r="R11"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tc={7B36611E-DC8E-43F5-9B69-83D07103339D}</author>
    <author>tc={B02EBB6F-927A-4612-AB9E-6C78CC35C624}</author>
    <author>tc={A358EBF1-B2BA-4761-AB17-80E5B65F4EC3}</author>
    <author>tc={1CCFD18B-0406-48BF-9C0A-99743A3577DA}</author>
    <author>tc={9D5D0DC0-4562-434C-B9B6-A8E4ED2E1817}</author>
    <author>tc={E54C3C09-EE80-482D-973A-382715250435}</author>
    <author>tc={AE2ECD7D-AAE2-4447-AC59-850307C1EFAA}</author>
  </authors>
  <commentList>
    <comment ref="F6" authorId="0" shapeId="0" xr:uid="{7B36611E-DC8E-43F5-9B69-83D07103339D}">
      <text>
        <t>[Threaded comment]
Your version of Excel allows you to read this threaded comment; however, any edits to it will get removed if the file is opened in a newer version of Excel. Learn more: https://go.microsoft.com/fwlink/?linkid=870924
Comment:
    7 is correct</t>
      </text>
    </comment>
    <comment ref="F7" authorId="1" shapeId="0" xr:uid="{B02EBB6F-927A-4612-AB9E-6C78CC35C624}">
      <text>
        <t>[Threaded comment]
Your version of Excel allows you to read this threaded comment; however, any edits to it will get removed if the file is opened in a newer version of Excel. Learn more: https://go.microsoft.com/fwlink/?linkid=870924
Comment:
    8 is wrong, 3 is correct) (1 h inf, 1 corolla)</t>
      </text>
    </comment>
    <comment ref="F8" authorId="2" shapeId="0" xr:uid="{A358EBF1-B2BA-4761-AB17-80E5B65F4EC3}">
      <text>
        <t>[Threaded comment]
Your version of Excel allows you to read this threaded comment; however, any edits to it will get removed if the file is opened in a newer version of Excel. Learn more: https://go.microsoft.com/fwlink/?linkid=870924
Comment:
    Heliconoides inf</t>
      </text>
    </comment>
    <comment ref="F12" authorId="3" shapeId="0" xr:uid="{1CCFD18B-0406-48BF-9C0A-99743A3577DA}">
      <text>
        <t>[Threaded comment]
Your version of Excel allows you to read this threaded comment; however, any edits to it will get removed if the file is opened in a newer version of Excel. Learn more: https://go.microsoft.com/fwlink/?linkid=870924
Comment:
    5 buli, 7 inf
Reply:
    12 is correct</t>
      </text>
    </comment>
    <comment ref="F13" authorId="4" shapeId="0" xr:uid="{9D5D0DC0-4562-434C-B9B6-A8E4ED2E1817}">
      <text>
        <t>[Threaded comment]
Your version of Excel allows you to read this threaded comment; however, any edits to it will get removed if the file is opened in a newer version of Excel. Learn more: https://go.microsoft.com/fwlink/?linkid=870924
Comment:
    Atlanta sp. Oxygyrus inflatus
Reply:
    7 is correct, 5 H. Inf juv need to be added</t>
      </text>
    </comment>
    <comment ref="F23" authorId="5" shapeId="0" xr:uid="{E54C3C09-EE80-482D-973A-382715250435}">
      <text>
        <t>[Threaded comment]
Your version of Excel allows you to read this threaded comment; however, any edits to it will get removed if the file is opened in a newer version of Excel. Learn more: https://go.microsoft.com/fwlink/?linkid=870924
Comment:
    16 is correct</t>
      </text>
    </comment>
    <comment ref="F25" authorId="6" shapeId="0" xr:uid="{AE2ECD7D-AAE2-4447-AC59-850307C1EFAA}">
      <text>
        <t>[Threaded comment]
Your version of Excel allows you to read this threaded comment; however, any edits to it will get removed if the file is opened in a newer version of Excel. Learn more: https://go.microsoft.com/fwlink/?linkid=870924
Comment:
    H inf: 15, diacria trispinosa 1, creseis sp 4</t>
      </text>
    </comment>
  </commentList>
</comments>
</file>

<file path=xl/sharedStrings.xml><?xml version="1.0" encoding="utf-8"?>
<sst xmlns="http://schemas.openxmlformats.org/spreadsheetml/2006/main" count="160" uniqueCount="79">
  <si>
    <t>net number</t>
  </si>
  <si>
    <t>ad/juv</t>
  </si>
  <si>
    <t>station</t>
  </si>
  <si>
    <t>ad</t>
  </si>
  <si>
    <t>juv</t>
  </si>
  <si>
    <t>Average Corg H. Inflata adult</t>
  </si>
  <si>
    <t>Average CaCO3 H. Inflata adult</t>
  </si>
  <si>
    <t>[mg/individual]</t>
  </si>
  <si>
    <t>mg</t>
  </si>
  <si>
    <t>For stations 6 and 9 on Beyond expedition 64PE513</t>
  </si>
  <si>
    <t>Auhtor of excel sheet: Anne Kruijt, a.l.kruijt@uu.nl</t>
  </si>
  <si>
    <t>correction for split</t>
  </si>
  <si>
    <t xml:space="preserve">H.Inf with split correction </t>
  </si>
  <si>
    <t>L.Buli with split correction</t>
  </si>
  <si>
    <t>Average Corg L. Bulimoides adult</t>
  </si>
  <si>
    <t>Average CaCO3 L. Bulimoides adult</t>
  </si>
  <si>
    <t>Average Corg H. Inflata juv</t>
  </si>
  <si>
    <t>Average Corg L. Bulimoides juv</t>
  </si>
  <si>
    <t>Average CaCO3 H. Inflata juv</t>
  </si>
  <si>
    <t>Average CaCO3 L. Bulimoides juv</t>
  </si>
  <si>
    <t>concentration CaCO3</t>
  </si>
  <si>
    <t>concentration of Corg</t>
  </si>
  <si>
    <t>Oxygyrus juv</t>
  </si>
  <si>
    <t>H Inf juv</t>
  </si>
  <si>
    <t>Diacria Trisp juv</t>
  </si>
  <si>
    <t>Creseis sp juv</t>
  </si>
  <si>
    <t>Atlanta juv</t>
  </si>
  <si>
    <t>CaCO3 to  PIC</t>
  </si>
  <si>
    <t>Corg to POC</t>
  </si>
  <si>
    <t>a&gt; empty and full shells and adult and juvenile shells were counted separately for each net. The adult full-shell samples from st6 nets 5,4,3 and st9 nets2,3 AND the juvenile full shell samples from st6 net 5,4,2 and st 9 net 5,4,2,1 were weighed, ashed and weighed again and then divided by the number of shells in the sample at the time of weighing, to obtain average weight of caco3 for each shell in those nets.</t>
  </si>
  <si>
    <t>Multinet counts and weights of gastropods, translated to PIC and POC</t>
  </si>
  <si>
    <t>c&gt; two types of gastropods; Limacina  Bulimoides and Heliconoides Inflatus, were weighed and ashed separately, to reconstruct PIC/POC ratio of specifally these species. For this we picked full adult and juvenile specimen from st6 and 9, net 5 only. We weighed, ashed and weighed again and then divided by number of weighed shells, to get an average Corg and CaCO3 weight, to convert to PIC/POC ratio</t>
  </si>
  <si>
    <t xml:space="preserve">The calculations and corrections sheet contains the gastropod counts in each net, and the conversion to total CaCO3 and PIC. </t>
  </si>
  <si>
    <t>Last update by author: July 2025</t>
  </si>
  <si>
    <t>b&gt; this average CO3 weight per shell was then multiplied by the correct (corrected for splitting the net, corrected for shells lost during the weighing procedure) number of full specimen in the corresponding net</t>
  </si>
  <si>
    <t xml:space="preserve">f&gt; To obtain the PIC we divide the CaCO3 mass by 8.333333 </t>
  </si>
  <si>
    <t># count</t>
  </si>
  <si>
    <t>correct value (corrected for split)</t>
  </si>
  <si>
    <t>L. Buli in net 5</t>
  </si>
  <si>
    <t>H inf in net 5</t>
  </si>
  <si>
    <t>volume sampled [m3]</t>
  </si>
  <si>
    <t>[PIC] [mg/m3]</t>
  </si>
  <si>
    <t>[POC] [mg/m3]</t>
  </si>
  <si>
    <t>total Corg weight [mg]</t>
  </si>
  <si>
    <t>total CaCO3 weight [mg]</t>
  </si>
  <si>
    <t>average dryweight per shell [mg/shell]</t>
  </si>
  <si>
    <t>average ashed weight per shell [mg/shell]</t>
  </si>
  <si>
    <t>CaCO3 [mg]</t>
  </si>
  <si>
    <t xml:space="preserve">d&gt; For thepicked samples that where not weighed, we estimated the weight of each gastropod species present in those net samples (Atlanta sp., Diacria Trisp, Creseis Sp., Oxygyrus) , and multiplied that weight by the amount of species of that type present in the sample. We did this for both the unmeasured full and empty shells in the net samples. </t>
  </si>
  <si>
    <t>Average gastropod weights [mg]</t>
  </si>
  <si>
    <t>PIC or POC[mg/ind]</t>
  </si>
  <si>
    <t>Corg [mg/ind]</t>
  </si>
  <si>
    <t>PIC [mg/ind]</t>
  </si>
  <si>
    <t>POC [mg/ind]</t>
  </si>
  <si>
    <t>full/empty</t>
  </si>
  <si>
    <t>full</t>
  </si>
  <si>
    <t>Based on gastropod counts: counts from the multinet-data-count excel sheet, made by Robin van Dijk en Danielle van den Burg, online available on google drive. Contains counts of all speciment in each net</t>
  </si>
  <si>
    <t>Gastropod mass: several steps were taken to obtain gastropod caco3 mass in each net sample</t>
  </si>
  <si>
    <t>NOTE: This excel file does not contain the reconstructed PIC related to empty shells. These reconstructed  weights for each sample can be directly found in the excel file containing PIC concentrations of all plankton. The weight was reconstructed as explained above, by using the species specific PIC weights and multiplying each species specific PIC weight with the amount of that species present in the sample</t>
  </si>
  <si>
    <t xml:space="preserve">e&gt; For the total CaCO3 mass in each net sample, we summed up the weighed totals, the weighed H. Inflatus and L. Bulimoides from nets 5, and the reconstructed total weight of the unmeasured shells. </t>
  </si>
  <si>
    <t>net</t>
  </si>
  <si>
    <t>count</t>
  </si>
  <si>
    <t>species</t>
  </si>
  <si>
    <t>2*H inflatus</t>
  </si>
  <si>
    <t>2*Cavolinia, 10*H inflatus, 2* Diacria, 4* L bulimoides</t>
  </si>
  <si>
    <t>8*L bulimoides</t>
  </si>
  <si>
    <t>26* L bulimoides, 4*Atlanta, 2*Diacria</t>
  </si>
  <si>
    <t>4*L bulimoides</t>
  </si>
  <si>
    <t>2*L bulimoides</t>
  </si>
  <si>
    <t>14* L bulimoides, 6* H inflatus, 2* C pyramidata</t>
  </si>
  <si>
    <t>26* H inflatus, 6* L bulimoides</t>
  </si>
  <si>
    <t>22* L bulimoides</t>
  </si>
  <si>
    <t>6* L bulimoides</t>
  </si>
  <si>
    <t>Cavolinia sp.</t>
  </si>
  <si>
    <t>Clio pyramidata</t>
  </si>
  <si>
    <t>Average gastropod weights [mg/ind]</t>
  </si>
  <si>
    <t>PIC concentration [mg/m3]</t>
  </si>
  <si>
    <t>volume [m3]</t>
  </si>
  <si>
    <t>total PIC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</si>
</sst>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name val="Calibri"/>
      <family val="2"/>
      <scheme val="minor"/>
    </font>
    <font>
      <sz val="18"/>
      <color theme="1"/>
      <name val="Calibri"/>
      <family val="2"/>
      <scheme val="minor"/>
    </font>
    <font>
      <sz val="12"/>
      <color theme="1"/>
      <name val="Calibri"/>
      <family val="2"/>
      <scheme val="minor"/>
    </font>
    <font>
      <sz val="8"/>
      <color rgb="FF000000"/>
      <name val="Lucida Console"/>
      <family val="3"/>
    </font>
    <font>
      <b/>
      <sz val="11"/>
      <name val="Calibri"/>
      <family val="2"/>
      <scheme val="minor"/>
    </font>
    <font>
      <sz val="8"/>
      <name val="Lucida Console"/>
      <family val="3"/>
    </font>
  </fonts>
  <fills count="2">
    <fill>
      <patternFill patternType="none"/>
    </fill>
    <fill>
      <patternFill patternType="gray125"/>
    </fill>
  </fills>
  <borders count="4">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s>
  <cellStyleXfs count="1">
    <xf numFmtId="0" fontId="0" fillId="0" borderId="0"/>
  </cellStyleXfs>
  <cellXfs count="18">
    <xf numFmtId="0" fontId="0" fillId="0" borderId="0" xfId="0"/>
    <xf numFmtId="0" fontId="1" fillId="0" borderId="0" xfId="0" applyFont="1"/>
    <xf numFmtId="0" fontId="3" fillId="0" borderId="0" xfId="0" applyFont="1"/>
    <xf numFmtId="0" fontId="4" fillId="0" borderId="0" xfId="0" applyFont="1"/>
    <xf numFmtId="0" fontId="0" fillId="0" borderId="3" xfId="0" applyBorder="1"/>
    <xf numFmtId="0" fontId="1" fillId="0" borderId="1" xfId="0" applyFont="1" applyBorder="1"/>
    <xf numFmtId="0" fontId="1" fillId="0" borderId="2" xfId="0" applyFont="1" applyBorder="1"/>
    <xf numFmtId="11" fontId="5" fillId="0" borderId="0" xfId="0" applyNumberFormat="1" applyFont="1" applyAlignment="1">
      <alignment vertical="center"/>
    </xf>
    <xf numFmtId="0" fontId="5" fillId="0" borderId="0" xfId="0" applyFont="1" applyAlignment="1">
      <alignment vertical="center"/>
    </xf>
    <xf numFmtId="0" fontId="2" fillId="0" borderId="0" xfId="0" applyFont="1" applyFill="1"/>
    <xf numFmtId="0" fontId="2" fillId="0" borderId="3" xfId="0" applyFont="1" applyFill="1" applyBorder="1"/>
    <xf numFmtId="0" fontId="6" fillId="0" borderId="0" xfId="0" applyFont="1" applyFill="1"/>
    <xf numFmtId="11" fontId="2" fillId="0" borderId="0" xfId="0" applyNumberFormat="1" applyFont="1" applyFill="1"/>
    <xf numFmtId="11" fontId="7" fillId="0" borderId="0" xfId="0" applyNumberFormat="1" applyFont="1" applyFill="1" applyAlignment="1">
      <alignment vertical="center"/>
    </xf>
    <xf numFmtId="0" fontId="7" fillId="0" borderId="0" xfId="0" applyFont="1" applyFill="1" applyAlignment="1">
      <alignment vertical="center"/>
    </xf>
    <xf numFmtId="0" fontId="0" fillId="0" borderId="0" xfId="0" applyFill="1"/>
    <xf numFmtId="11" fontId="0" fillId="0" borderId="0" xfId="0" applyNumberForma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ruijt, A.L. (Anne)" id="{6F84E0BA-C662-421A-9E89-7BBF9965406D}" userId="S::a.l.kruijt@uu.nl::1e1d2755-63f9-4532-85de-f9c7db6eb41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6" dT="2024-09-03T12:17:10.82" personId="{6F84E0BA-C662-421A-9E89-7BBF9965406D}" id="{7B36611E-DC8E-43F5-9B69-83D07103339D}">
    <text>7 is correct</text>
  </threadedComment>
  <threadedComment ref="F7" dT="2024-09-18T13:12:08.79" personId="{6F84E0BA-C662-421A-9E89-7BBF9965406D}" id="{B02EBB6F-927A-4612-AB9E-6C78CC35C624}">
    <text>8 is wrong, 3 is correct) (1 h inf, 1 corolla)</text>
  </threadedComment>
  <threadedComment ref="F8" dT="2024-08-29T12:04:37.29" personId="{6F84E0BA-C662-421A-9E89-7BBF9965406D}" id="{A358EBF1-B2BA-4761-AB17-80E5B65F4EC3}">
    <text>Heliconoides inf</text>
  </threadedComment>
  <threadedComment ref="F12" dT="2024-08-29T12:10:16.19" personId="{6F84E0BA-C662-421A-9E89-7BBF9965406D}" id="{1CCFD18B-0406-48BF-9C0A-99743A3577DA}">
    <text>5 buli, 7 inf</text>
  </threadedComment>
  <threadedComment ref="F12" dT="2024-09-03T12:17:20.51" personId="{6F84E0BA-C662-421A-9E89-7BBF9965406D}" id="{7EF32B61-B4BA-4D7C-8CF4-9D7EA9E03B15}" parentId="{1CCFD18B-0406-48BF-9C0A-99743A3577DA}">
    <text>12 is correct</text>
  </threadedComment>
  <threadedComment ref="F13" dT="2024-08-29T12:11:25.31" personId="{6F84E0BA-C662-421A-9E89-7BBF9965406D}" id="{9D5D0DC0-4562-434C-B9B6-A8E4ED2E1817}">
    <text>Atlanta sp. Oxygyrus inflatus</text>
  </threadedComment>
  <threadedComment ref="F13" dT="2024-09-18T13:17:20.99" personId="{6F84E0BA-C662-421A-9E89-7BBF9965406D}" id="{1BE005D2-78BF-4582-BBED-DCA1CE6812D6}" parentId="{9D5D0DC0-4562-434C-B9B6-A8E4ED2E1817}">
    <text>7 is correct, 5 H. Inf juv need to be added</text>
  </threadedComment>
  <threadedComment ref="F23" dT="2024-09-18T13:20:40.00" personId="{6F84E0BA-C662-421A-9E89-7BBF9965406D}" id="{E54C3C09-EE80-482D-973A-382715250435}">
    <text>16 is correct</text>
  </threadedComment>
  <threadedComment ref="F25" dT="2024-08-29T12:20:02.34" personId="{6F84E0BA-C662-421A-9E89-7BBF9965406D}" id="{AE2ECD7D-AAE2-4447-AC59-850307C1EFAA}">
    <text>H inf: 15, diacria trispinosa 1, creseis sp 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5530-9FC5-403B-8B46-00E22A360C6A}">
  <dimension ref="A2:A19"/>
  <sheetViews>
    <sheetView workbookViewId="0">
      <selection activeCell="B21" sqref="B21"/>
    </sheetView>
  </sheetViews>
  <sheetFormatPr defaultRowHeight="14.4" x14ac:dyDescent="0.3"/>
  <sheetData>
    <row r="2" spans="1:1" ht="23.4" x14ac:dyDescent="0.45">
      <c r="A2" s="2" t="s">
        <v>30</v>
      </c>
    </row>
    <row r="3" spans="1:1" s="2" customFormat="1" ht="23.4" x14ac:dyDescent="0.45">
      <c r="A3" s="2" t="s">
        <v>9</v>
      </c>
    </row>
    <row r="5" spans="1:1" ht="15.6" x14ac:dyDescent="0.3">
      <c r="A5" s="3" t="s">
        <v>10</v>
      </c>
    </row>
    <row r="7" spans="1:1" x14ac:dyDescent="0.3">
      <c r="A7" t="s">
        <v>33</v>
      </c>
    </row>
    <row r="10" spans="1:1" x14ac:dyDescent="0.3">
      <c r="A10" s="1" t="s">
        <v>32</v>
      </c>
    </row>
    <row r="11" spans="1:1" x14ac:dyDescent="0.3">
      <c r="A11" t="s">
        <v>56</v>
      </c>
    </row>
    <row r="12" spans="1:1" x14ac:dyDescent="0.3">
      <c r="A12" t="s">
        <v>57</v>
      </c>
    </row>
    <row r="13" spans="1:1" x14ac:dyDescent="0.3">
      <c r="A13" t="s">
        <v>29</v>
      </c>
    </row>
    <row r="14" spans="1:1" x14ac:dyDescent="0.3">
      <c r="A14" t="s">
        <v>34</v>
      </c>
    </row>
    <row r="15" spans="1:1" x14ac:dyDescent="0.3">
      <c r="A15" t="s">
        <v>31</v>
      </c>
    </row>
    <row r="16" spans="1:1" x14ac:dyDescent="0.3">
      <c r="A16" t="s">
        <v>48</v>
      </c>
    </row>
    <row r="17" spans="1:1" x14ac:dyDescent="0.3">
      <c r="A17" t="s">
        <v>58</v>
      </c>
    </row>
    <row r="18" spans="1:1" x14ac:dyDescent="0.3">
      <c r="A18" t="s">
        <v>59</v>
      </c>
    </row>
    <row r="19" spans="1:1" x14ac:dyDescent="0.3">
      <c r="A19" t="s">
        <v>35</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4FAF-5BB8-40F7-9617-BCB9BA96A75C}">
  <dimension ref="A3:T43"/>
  <sheetViews>
    <sheetView topLeftCell="A9" zoomScale="68" zoomScaleNormal="68" workbookViewId="0">
      <selection activeCell="A32" sqref="A32:L43"/>
    </sheetView>
  </sheetViews>
  <sheetFormatPr defaultRowHeight="14.4" x14ac:dyDescent="0.3"/>
  <cols>
    <col min="1" max="1" width="36.6640625" customWidth="1"/>
    <col min="7" max="7" width="23.109375" customWidth="1"/>
    <col min="8" max="8" width="12.77734375" style="9" customWidth="1"/>
    <col min="9" max="9" width="23.88671875" customWidth="1"/>
    <col min="14" max="14" width="25.21875" customWidth="1"/>
    <col min="15" max="15" width="28.77734375" customWidth="1"/>
    <col min="16" max="16" width="18.109375" customWidth="1"/>
    <col min="17" max="17" width="12.5546875" customWidth="1"/>
    <col min="18" max="18" width="18.77734375" customWidth="1"/>
    <col min="19" max="19" width="17" customWidth="1"/>
    <col min="20" max="20" width="22.77734375" customWidth="1"/>
    <col min="21" max="21" width="17" customWidth="1"/>
    <col min="22" max="22" width="33.109375" customWidth="1"/>
    <col min="23" max="23" width="24.44140625" customWidth="1"/>
  </cols>
  <sheetData>
    <row r="3" spans="1:20" x14ac:dyDescent="0.3">
      <c r="N3" t="s">
        <v>8</v>
      </c>
      <c r="O3" t="s">
        <v>8</v>
      </c>
    </row>
    <row r="4" spans="1:20" x14ac:dyDescent="0.3">
      <c r="A4" t="s">
        <v>11</v>
      </c>
      <c r="B4" t="s">
        <v>0</v>
      </c>
      <c r="C4" t="s">
        <v>1</v>
      </c>
      <c r="D4" t="s">
        <v>54</v>
      </c>
      <c r="E4" t="s">
        <v>2</v>
      </c>
      <c r="F4" s="9" t="s">
        <v>36</v>
      </c>
      <c r="G4" t="s">
        <v>37</v>
      </c>
      <c r="H4" t="s">
        <v>39</v>
      </c>
      <c r="I4" t="s">
        <v>38</v>
      </c>
      <c r="J4" t="s">
        <v>12</v>
      </c>
      <c r="K4" t="s">
        <v>13</v>
      </c>
      <c r="L4" t="s">
        <v>45</v>
      </c>
      <c r="M4" t="s">
        <v>46</v>
      </c>
      <c r="N4" t="s">
        <v>44</v>
      </c>
      <c r="O4" t="s">
        <v>43</v>
      </c>
      <c r="P4" t="s">
        <v>20</v>
      </c>
      <c r="Q4" t="s">
        <v>21</v>
      </c>
      <c r="R4" t="s">
        <v>41</v>
      </c>
      <c r="S4" t="s">
        <v>42</v>
      </c>
      <c r="T4" t="s">
        <v>40</v>
      </c>
    </row>
    <row r="5" spans="1:20" x14ac:dyDescent="0.3">
      <c r="A5">
        <v>2</v>
      </c>
      <c r="B5">
        <v>5</v>
      </c>
      <c r="C5" t="s">
        <v>3</v>
      </c>
      <c r="D5" t="s">
        <v>55</v>
      </c>
      <c r="E5">
        <v>6</v>
      </c>
      <c r="F5" s="9">
        <v>39</v>
      </c>
      <c r="G5">
        <v>78</v>
      </c>
      <c r="H5">
        <v>95</v>
      </c>
      <c r="I5">
        <v>23</v>
      </c>
      <c r="J5">
        <f>H5*2</f>
        <v>190</v>
      </c>
      <c r="K5">
        <f>I5*2</f>
        <v>46</v>
      </c>
      <c r="L5">
        <v>0.43877777777777865</v>
      </c>
      <c r="M5">
        <v>0.33458771929824438</v>
      </c>
      <c r="N5">
        <f>G5*M5 +J5*$B$35+K5*$B$36</f>
        <v>46.929986131449638</v>
      </c>
      <c r="O5">
        <f>G5*(L5-M5) +J5*$B$33+K5*$B$34</f>
        <v>17.672746547219276</v>
      </c>
      <c r="P5">
        <f t="shared" ref="P5:P27" si="0">N5/T5</f>
        <v>0.10888627872726134</v>
      </c>
      <c r="Q5">
        <f t="shared" ref="Q5:Q27" si="1">O5/T5</f>
        <v>4.1004052313733823E-2</v>
      </c>
      <c r="R5">
        <f>P5*$B$42</f>
        <v>1.306635867381483E-2</v>
      </c>
      <c r="S5">
        <f>Q5*$B$43</f>
        <v>1.6401620925493531E-2</v>
      </c>
      <c r="T5">
        <v>431</v>
      </c>
    </row>
    <row r="6" spans="1:20" x14ac:dyDescent="0.3">
      <c r="A6">
        <v>2</v>
      </c>
      <c r="B6">
        <v>4</v>
      </c>
      <c r="C6" t="s">
        <v>3</v>
      </c>
      <c r="D6" t="s">
        <v>55</v>
      </c>
      <c r="E6">
        <v>6</v>
      </c>
      <c r="F6" s="9">
        <v>7</v>
      </c>
      <c r="G6">
        <v>14</v>
      </c>
      <c r="H6"/>
      <c r="L6">
        <v>0.17816666666666237</v>
      </c>
      <c r="M6">
        <v>2.8222222222230659E-2</v>
      </c>
      <c r="N6">
        <f>G6*M6 +J6*$B$35+K6*$B$36</f>
        <v>0.39511111111122921</v>
      </c>
      <c r="O6">
        <f>G6*(L6-M6) +J6*$B$33+K6*$B$34</f>
        <v>2.0992222222220436</v>
      </c>
      <c r="P6">
        <f t="shared" si="0"/>
        <v>3.0868055555564782E-3</v>
      </c>
      <c r="Q6">
        <f t="shared" si="1"/>
        <v>1.6400173611109715E-2</v>
      </c>
      <c r="R6">
        <f t="shared" ref="R6:R27" si="2">P6*$B$42</f>
        <v>3.7041681483350334E-4</v>
      </c>
      <c r="S6">
        <f t="shared" ref="S6:S27" si="3">Q6*$B$43</f>
        <v>6.5600694444438862E-3</v>
      </c>
      <c r="T6">
        <v>128</v>
      </c>
    </row>
    <row r="7" spans="1:20" x14ac:dyDescent="0.3">
      <c r="A7">
        <v>2</v>
      </c>
      <c r="B7">
        <v>3</v>
      </c>
      <c r="C7" t="s">
        <v>3</v>
      </c>
      <c r="D7" t="s">
        <v>55</v>
      </c>
      <c r="E7">
        <v>6</v>
      </c>
      <c r="F7" s="9">
        <v>3</v>
      </c>
      <c r="G7">
        <v>6</v>
      </c>
      <c r="H7"/>
      <c r="L7">
        <v>8.0285714285651011E-2</v>
      </c>
      <c r="M7">
        <v>4.9333333333322571E-2</v>
      </c>
      <c r="N7">
        <f>G7*M7 +J7*$B$35+K7*$B$36</f>
        <v>0.29599999999993543</v>
      </c>
      <c r="O7">
        <f>G7*(L7-M7) +J7*$B$33+K7*$B$34</f>
        <v>0.18571428571397064</v>
      </c>
      <c r="P7">
        <f t="shared" si="0"/>
        <v>6.7889908256865922E-4</v>
      </c>
      <c r="Q7">
        <f t="shared" si="1"/>
        <v>4.259501965916758E-4</v>
      </c>
      <c r="R7">
        <f t="shared" si="2"/>
        <v>8.1467922495408104E-5</v>
      </c>
      <c r="S7">
        <f t="shared" si="3"/>
        <v>1.7038007863667034E-4</v>
      </c>
      <c r="T7">
        <v>436</v>
      </c>
    </row>
    <row r="8" spans="1:20" s="15" customFormat="1" x14ac:dyDescent="0.3">
      <c r="A8" s="15">
        <v>2</v>
      </c>
      <c r="B8" s="15">
        <v>2</v>
      </c>
      <c r="C8" s="15" t="s">
        <v>3</v>
      </c>
      <c r="D8" t="s">
        <v>55</v>
      </c>
      <c r="E8" s="15">
        <v>6</v>
      </c>
      <c r="F8" s="9">
        <v>1</v>
      </c>
      <c r="G8" s="15">
        <v>2</v>
      </c>
      <c r="N8" s="15">
        <f>G8*B35</f>
        <v>0.16229787234042553</v>
      </c>
      <c r="O8" s="15">
        <f>G8*B33</f>
        <v>8.1921985815602838E-2</v>
      </c>
      <c r="P8" s="15">
        <f t="shared" si="0"/>
        <v>3.3122014763352147E-4</v>
      </c>
      <c r="Q8" s="15">
        <f t="shared" si="1"/>
        <v>1.6718772615429149E-4</v>
      </c>
      <c r="R8" s="15">
        <f t="shared" si="2"/>
        <v>3.9746433614596027E-5</v>
      </c>
      <c r="S8" s="15">
        <f t="shared" si="3"/>
        <v>6.6875090461716594E-5</v>
      </c>
      <c r="T8" s="15">
        <v>490</v>
      </c>
    </row>
    <row r="9" spans="1:20" x14ac:dyDescent="0.3">
      <c r="A9">
        <v>2</v>
      </c>
      <c r="B9">
        <v>1</v>
      </c>
      <c r="C9" t="s">
        <v>3</v>
      </c>
      <c r="D9" t="s">
        <v>55</v>
      </c>
      <c r="E9">
        <v>6</v>
      </c>
      <c r="F9" s="9">
        <v>0</v>
      </c>
      <c r="G9">
        <v>0</v>
      </c>
      <c r="H9"/>
      <c r="M9">
        <v>0</v>
      </c>
      <c r="N9">
        <v>0</v>
      </c>
      <c r="O9">
        <v>0</v>
      </c>
      <c r="P9">
        <f t="shared" si="0"/>
        <v>0</v>
      </c>
      <c r="Q9">
        <f t="shared" si="1"/>
        <v>0</v>
      </c>
      <c r="R9">
        <f t="shared" si="2"/>
        <v>0</v>
      </c>
      <c r="S9">
        <f t="shared" si="3"/>
        <v>0</v>
      </c>
      <c r="T9">
        <v>212</v>
      </c>
    </row>
    <row r="10" spans="1:20" x14ac:dyDescent="0.3">
      <c r="A10">
        <v>2</v>
      </c>
      <c r="F10" s="9"/>
      <c r="H10"/>
    </row>
    <row r="11" spans="1:20" x14ac:dyDescent="0.3">
      <c r="A11">
        <v>2</v>
      </c>
      <c r="B11">
        <v>5</v>
      </c>
      <c r="C11" t="s">
        <v>4</v>
      </c>
      <c r="D11" t="s">
        <v>55</v>
      </c>
      <c r="E11">
        <v>6</v>
      </c>
      <c r="F11" s="9">
        <v>62</v>
      </c>
      <c r="G11">
        <v>124</v>
      </c>
      <c r="H11">
        <v>205</v>
      </c>
      <c r="I11">
        <v>288</v>
      </c>
      <c r="J11">
        <f>H11*2</f>
        <v>410</v>
      </c>
      <c r="K11">
        <f>I11*2</f>
        <v>576</v>
      </c>
      <c r="L11">
        <v>5.0386666666665858E-2</v>
      </c>
      <c r="M11">
        <v>3.5111111111111391E-2</v>
      </c>
      <c r="N11">
        <f>G11*M11 +J11*$B$39 +K11*$B$40</f>
        <v>14.47190261036792</v>
      </c>
      <c r="O11">
        <f>G11*(L11-M11)+J11*$B$40+K11*$B$39</f>
        <v>12.06878926898893</v>
      </c>
      <c r="P11">
        <f t="shared" si="0"/>
        <v>3.3577500256074061E-2</v>
      </c>
      <c r="Q11">
        <f t="shared" si="1"/>
        <v>2.800183125055436E-2</v>
      </c>
      <c r="R11">
        <f t="shared" si="2"/>
        <v>4.0293016424495448E-3</v>
      </c>
      <c r="S11">
        <f t="shared" si="3"/>
        <v>1.1200732500221744E-2</v>
      </c>
      <c r="T11">
        <v>431</v>
      </c>
    </row>
    <row r="12" spans="1:20" x14ac:dyDescent="0.3">
      <c r="A12">
        <v>2</v>
      </c>
      <c r="B12">
        <v>4</v>
      </c>
      <c r="C12" t="s">
        <v>4</v>
      </c>
      <c r="D12" t="s">
        <v>55</v>
      </c>
      <c r="E12">
        <v>6</v>
      </c>
      <c r="F12" s="9">
        <v>12</v>
      </c>
      <c r="G12">
        <v>24</v>
      </c>
      <c r="H12"/>
      <c r="L12">
        <v>9.5555555555506544E-3</v>
      </c>
      <c r="M12">
        <v>6.555555555545804E-3</v>
      </c>
      <c r="N12">
        <f>G12*M12 +J12*$B$39 +K12*$B$40</f>
        <v>0.15733333333309929</v>
      </c>
      <c r="O12">
        <f>G12*(L12-M12)+J12*$B$40+K12*$B$39</f>
        <v>7.2000000000116415E-2</v>
      </c>
      <c r="P12">
        <f t="shared" si="0"/>
        <v>1.2291666666648382E-3</v>
      </c>
      <c r="Q12">
        <f t="shared" si="1"/>
        <v>5.6250000000090949E-4</v>
      </c>
      <c r="R12">
        <f t="shared" si="2"/>
        <v>1.4750005899980418E-4</v>
      </c>
      <c r="S12">
        <f t="shared" si="3"/>
        <v>2.250000000003638E-4</v>
      </c>
      <c r="T12">
        <v>128</v>
      </c>
    </row>
    <row r="13" spans="1:20" s="15" customFormat="1" x14ac:dyDescent="0.3">
      <c r="A13" s="15">
        <v>2</v>
      </c>
      <c r="B13" s="15">
        <v>3</v>
      </c>
      <c r="C13" s="15" t="s">
        <v>4</v>
      </c>
      <c r="D13" t="s">
        <v>55</v>
      </c>
      <c r="E13" s="15">
        <v>6</v>
      </c>
      <c r="F13" s="9">
        <v>7</v>
      </c>
      <c r="G13" s="15">
        <v>14</v>
      </c>
      <c r="N13" s="16">
        <f>2*5*B39 + 2*1*H37+2*1*H33</f>
        <v>0.1046255767000606</v>
      </c>
      <c r="O13" s="16">
        <f>2*(5*B37 +1*I37+1*I33)</f>
        <v>7.8743103083272731E-2</v>
      </c>
      <c r="P13" s="15">
        <f t="shared" si="0"/>
        <v>2.3996691903683626E-4</v>
      </c>
      <c r="Q13" s="15">
        <f t="shared" si="1"/>
        <v>1.8060344743869893E-4</v>
      </c>
      <c r="R13" s="15">
        <f t="shared" si="2"/>
        <v>2.8796041802837074E-5</v>
      </c>
      <c r="S13" s="15">
        <f t="shared" si="3"/>
        <v>7.224137897547958E-5</v>
      </c>
      <c r="T13" s="15">
        <v>436</v>
      </c>
    </row>
    <row r="14" spans="1:20" x14ac:dyDescent="0.3">
      <c r="A14">
        <v>2</v>
      </c>
      <c r="B14">
        <v>2</v>
      </c>
      <c r="C14" t="s">
        <v>4</v>
      </c>
      <c r="D14" t="s">
        <v>55</v>
      </c>
      <c r="E14">
        <v>6</v>
      </c>
      <c r="F14" s="9">
        <v>5</v>
      </c>
      <c r="G14">
        <v>10</v>
      </c>
      <c r="H14"/>
      <c r="L14">
        <v>4.0857142857134932E-2</v>
      </c>
      <c r="M14">
        <v>3.7333333333336327E-2</v>
      </c>
      <c r="N14">
        <f>G14*M14 +J14*$B$39 +K14*$B$40</f>
        <v>0.37333333333336327</v>
      </c>
      <c r="O14">
        <f>G14*(L14-M14)+J14*$B$40+K14*$B$39</f>
        <v>3.5238095237986045E-2</v>
      </c>
      <c r="P14">
        <f t="shared" si="0"/>
        <v>7.6190476190482297E-4</v>
      </c>
      <c r="Q14">
        <f t="shared" si="1"/>
        <v>7.1914480077522538E-5</v>
      </c>
      <c r="R14">
        <f t="shared" si="2"/>
        <v>9.1428608000021958E-5</v>
      </c>
      <c r="S14">
        <f t="shared" si="3"/>
        <v>2.8765792031009015E-5</v>
      </c>
      <c r="T14">
        <v>490</v>
      </c>
    </row>
    <row r="15" spans="1:20" x14ac:dyDescent="0.3">
      <c r="A15">
        <v>2</v>
      </c>
      <c r="B15">
        <v>1</v>
      </c>
      <c r="C15" t="s">
        <v>4</v>
      </c>
      <c r="D15" t="s">
        <v>55</v>
      </c>
      <c r="E15">
        <v>6</v>
      </c>
      <c r="F15" s="9">
        <v>0</v>
      </c>
      <c r="G15">
        <v>0</v>
      </c>
      <c r="H15"/>
      <c r="L15">
        <v>0</v>
      </c>
      <c r="M15">
        <v>0</v>
      </c>
      <c r="N15">
        <f>G15*M15 +J15*$B$39 +K15*$B$40</f>
        <v>0</v>
      </c>
      <c r="O15">
        <f>G15*(L15-M15)+J15*$B$33+K15*$B$34</f>
        <v>0</v>
      </c>
      <c r="P15">
        <f t="shared" si="0"/>
        <v>0</v>
      </c>
      <c r="Q15">
        <f t="shared" si="1"/>
        <v>0</v>
      </c>
      <c r="R15">
        <f t="shared" si="2"/>
        <v>0</v>
      </c>
      <c r="S15">
        <f t="shared" si="3"/>
        <v>0</v>
      </c>
      <c r="T15">
        <v>212</v>
      </c>
    </row>
    <row r="16" spans="1:20" x14ac:dyDescent="0.3">
      <c r="A16">
        <v>2</v>
      </c>
      <c r="F16" s="9"/>
      <c r="H16"/>
    </row>
    <row r="17" spans="1:20" x14ac:dyDescent="0.3">
      <c r="A17">
        <v>2</v>
      </c>
      <c r="B17">
        <v>5</v>
      </c>
      <c r="C17" t="s">
        <v>3</v>
      </c>
      <c r="D17" t="s">
        <v>55</v>
      </c>
      <c r="E17">
        <v>9</v>
      </c>
      <c r="F17" s="9">
        <v>0</v>
      </c>
      <c r="G17">
        <v>0</v>
      </c>
      <c r="H17">
        <v>6</v>
      </c>
      <c r="I17">
        <v>7</v>
      </c>
      <c r="J17">
        <f>H17*2</f>
        <v>12</v>
      </c>
      <c r="K17">
        <f>I17*2</f>
        <v>14</v>
      </c>
      <c r="L17">
        <v>0</v>
      </c>
      <c r="M17">
        <v>0</v>
      </c>
      <c r="N17">
        <f>G17*M17 +J17*$B$35+K17*$B$36</f>
        <v>2.6214795417348609</v>
      </c>
      <c r="O17">
        <f>J17*B33+K17*B34</f>
        <v>1.0281985815602839</v>
      </c>
      <c r="P17">
        <f t="shared" si="0"/>
        <v>5.1401559641860014E-3</v>
      </c>
      <c r="Q17">
        <f t="shared" si="1"/>
        <v>2.0160756501182036E-3</v>
      </c>
      <c r="R17">
        <f t="shared" si="2"/>
        <v>6.1681896242990518E-4</v>
      </c>
      <c r="S17">
        <f t="shared" si="3"/>
        <v>8.0643026004728147E-4</v>
      </c>
      <c r="T17">
        <v>510</v>
      </c>
    </row>
    <row r="18" spans="1:20" x14ac:dyDescent="0.3">
      <c r="A18">
        <v>2</v>
      </c>
      <c r="B18">
        <v>4</v>
      </c>
      <c r="C18" t="s">
        <v>3</v>
      </c>
      <c r="D18" t="s">
        <v>55</v>
      </c>
      <c r="E18">
        <v>9</v>
      </c>
      <c r="F18" s="9">
        <v>1</v>
      </c>
      <c r="G18">
        <v>2</v>
      </c>
      <c r="H18"/>
      <c r="L18">
        <v>0.1782857142856642</v>
      </c>
      <c r="M18">
        <v>0.1143333333333203</v>
      </c>
      <c r="N18">
        <f>G18*M18 +J18*$B$35+K18*$B$36</f>
        <v>0.22866666666664059</v>
      </c>
      <c r="O18">
        <f>G18*(L18-M18)</f>
        <v>0.1279047619046878</v>
      </c>
      <c r="P18">
        <f t="shared" si="0"/>
        <v>1.094098883572443E-3</v>
      </c>
      <c r="Q18">
        <f t="shared" si="1"/>
        <v>6.1198450672099425E-4</v>
      </c>
      <c r="R18">
        <f t="shared" si="2"/>
        <v>1.3129191854546057E-4</v>
      </c>
      <c r="S18">
        <f t="shared" si="3"/>
        <v>2.4479380268839772E-4</v>
      </c>
      <c r="T18">
        <v>209</v>
      </c>
    </row>
    <row r="19" spans="1:20" x14ac:dyDescent="0.3">
      <c r="A19">
        <v>2</v>
      </c>
      <c r="B19">
        <v>3</v>
      </c>
      <c r="C19" t="s">
        <v>3</v>
      </c>
      <c r="D19" t="s">
        <v>55</v>
      </c>
      <c r="E19">
        <v>9</v>
      </c>
      <c r="F19" s="9">
        <v>38</v>
      </c>
      <c r="G19">
        <v>76</v>
      </c>
      <c r="H19"/>
      <c r="L19">
        <v>0.11850793650793416</v>
      </c>
      <c r="M19">
        <v>8.9592592592591946E-2</v>
      </c>
      <c r="N19">
        <f>G19*M19 +J19*$B$35+K19*$B$36</f>
        <v>6.8090370370369877</v>
      </c>
      <c r="O19">
        <f>G19*(L19-M19)</f>
        <v>2.1975661375660085</v>
      </c>
      <c r="P19">
        <f t="shared" si="0"/>
        <v>1.4611667461452763E-2</v>
      </c>
      <c r="Q19">
        <f t="shared" si="1"/>
        <v>4.7158071621588166E-3</v>
      </c>
      <c r="R19">
        <f t="shared" si="2"/>
        <v>1.7534007967346503E-3</v>
      </c>
      <c r="S19">
        <f t="shared" si="3"/>
        <v>1.8863228648635267E-3</v>
      </c>
      <c r="T19">
        <v>466</v>
      </c>
    </row>
    <row r="20" spans="1:20" x14ac:dyDescent="0.3">
      <c r="A20">
        <v>2</v>
      </c>
      <c r="B20">
        <v>2</v>
      </c>
      <c r="C20" t="s">
        <v>3</v>
      </c>
      <c r="D20" t="s">
        <v>55</v>
      </c>
      <c r="E20">
        <v>9</v>
      </c>
      <c r="F20" s="9">
        <v>0</v>
      </c>
      <c r="G20">
        <v>0</v>
      </c>
      <c r="H20"/>
      <c r="L20">
        <v>0</v>
      </c>
      <c r="M20">
        <v>0</v>
      </c>
      <c r="N20">
        <f>G20*M20 +J20*$B$35+K20*$B$36</f>
        <v>0</v>
      </c>
      <c r="O20">
        <v>0</v>
      </c>
      <c r="P20">
        <f t="shared" si="0"/>
        <v>0</v>
      </c>
      <c r="Q20">
        <f t="shared" si="1"/>
        <v>0</v>
      </c>
      <c r="R20">
        <f t="shared" si="2"/>
        <v>0</v>
      </c>
      <c r="S20">
        <f t="shared" si="3"/>
        <v>0</v>
      </c>
      <c r="T20">
        <v>913</v>
      </c>
    </row>
    <row r="21" spans="1:20" x14ac:dyDescent="0.3">
      <c r="A21">
        <v>2</v>
      </c>
      <c r="B21">
        <v>1</v>
      </c>
      <c r="C21" t="s">
        <v>3</v>
      </c>
      <c r="D21" t="s">
        <v>55</v>
      </c>
      <c r="E21">
        <v>9</v>
      </c>
      <c r="F21" s="9">
        <v>0</v>
      </c>
      <c r="G21">
        <v>0</v>
      </c>
      <c r="H21"/>
      <c r="L21">
        <v>0</v>
      </c>
      <c r="M21">
        <v>0</v>
      </c>
      <c r="N21">
        <f>G21*M21 +J21*$B$35+K21*$B$36</f>
        <v>0</v>
      </c>
      <c r="O21">
        <v>0</v>
      </c>
      <c r="P21">
        <f t="shared" si="0"/>
        <v>0</v>
      </c>
      <c r="Q21">
        <f t="shared" si="1"/>
        <v>0</v>
      </c>
      <c r="R21">
        <f t="shared" si="2"/>
        <v>0</v>
      </c>
      <c r="S21">
        <f t="shared" si="3"/>
        <v>0</v>
      </c>
      <c r="T21">
        <v>367</v>
      </c>
    </row>
    <row r="22" spans="1:20" x14ac:dyDescent="0.3">
      <c r="A22">
        <v>2</v>
      </c>
      <c r="F22" s="9"/>
      <c r="H22"/>
    </row>
    <row r="23" spans="1:20" x14ac:dyDescent="0.3">
      <c r="A23">
        <v>2</v>
      </c>
      <c r="B23">
        <v>5</v>
      </c>
      <c r="C23" t="s">
        <v>4</v>
      </c>
      <c r="D23" t="s">
        <v>55</v>
      </c>
      <c r="E23">
        <v>9</v>
      </c>
      <c r="F23" s="9">
        <v>16</v>
      </c>
      <c r="G23">
        <v>32</v>
      </c>
      <c r="H23">
        <v>34</v>
      </c>
      <c r="I23">
        <v>294</v>
      </c>
      <c r="J23">
        <f>H23*2</f>
        <v>68</v>
      </c>
      <c r="K23">
        <f>I23*2</f>
        <v>588</v>
      </c>
      <c r="L23">
        <v>1.8705357142852819E-2</v>
      </c>
      <c r="M23">
        <v>1.2888888888888535E-2</v>
      </c>
      <c r="N23">
        <f>G23*L23+J23*$B$39+K23*$B$40</f>
        <v>7.2606122456787405</v>
      </c>
      <c r="O23">
        <f>G23*(L23-M23) +J23*$B$37+K23*$B$38</f>
        <v>1.8065007695773001</v>
      </c>
      <c r="P23">
        <f t="shared" si="0"/>
        <v>1.423649459937008E-2</v>
      </c>
      <c r="Q23">
        <f t="shared" si="1"/>
        <v>3.5421583717201964E-3</v>
      </c>
      <c r="R23">
        <f t="shared" si="2"/>
        <v>1.7083800352764237E-3</v>
      </c>
      <c r="S23">
        <f t="shared" si="3"/>
        <v>1.4168633486880786E-3</v>
      </c>
      <c r="T23">
        <v>510</v>
      </c>
    </row>
    <row r="24" spans="1:20" x14ac:dyDescent="0.3">
      <c r="A24">
        <v>2</v>
      </c>
      <c r="B24">
        <v>4</v>
      </c>
      <c r="C24" t="s">
        <v>4</v>
      </c>
      <c r="D24" t="s">
        <v>55</v>
      </c>
      <c r="E24">
        <v>9</v>
      </c>
      <c r="F24" s="9">
        <v>19</v>
      </c>
      <c r="G24">
        <v>38</v>
      </c>
      <c r="H24"/>
      <c r="L24">
        <v>2.0383458646617066E-2</v>
      </c>
      <c r="M24">
        <v>1.4807017543860542E-2</v>
      </c>
      <c r="N24">
        <f>G24*L24+J24*$B$39+K24*$B$40</f>
        <v>0.77457142857144845</v>
      </c>
      <c r="O24">
        <f>G24*(L24-M24) +J24*$B$37+K24*$B$38</f>
        <v>0.21190476190474788</v>
      </c>
      <c r="P24">
        <f t="shared" si="0"/>
        <v>3.7060833902940117E-3</v>
      </c>
      <c r="Q24">
        <f t="shared" si="1"/>
        <v>1.0138983823193678E-3</v>
      </c>
      <c r="R24">
        <f t="shared" si="2"/>
        <v>4.4473018472735533E-4</v>
      </c>
      <c r="S24">
        <f t="shared" si="3"/>
        <v>4.0555935292774714E-4</v>
      </c>
      <c r="T24">
        <v>209</v>
      </c>
    </row>
    <row r="25" spans="1:20" s="15" customFormat="1" x14ac:dyDescent="0.3">
      <c r="A25" s="15">
        <v>2</v>
      </c>
      <c r="B25" s="15">
        <v>3</v>
      </c>
      <c r="C25" s="15" t="s">
        <v>4</v>
      </c>
      <c r="D25" t="s">
        <v>55</v>
      </c>
      <c r="E25" s="15">
        <v>9</v>
      </c>
      <c r="F25" s="9">
        <v>20</v>
      </c>
      <c r="G25" s="15">
        <v>40</v>
      </c>
      <c r="N25" s="15">
        <f>2*(15*B39 +1*H35 +4*H36)</f>
        <v>5.9528893818181814</v>
      </c>
      <c r="O25" s="15">
        <f>2*(15*B37 +1*I35 +4*I36)</f>
        <v>4.8102784181818183</v>
      </c>
      <c r="P25" s="15">
        <f t="shared" si="0"/>
        <v>1.2774440733515411E-2</v>
      </c>
      <c r="Q25" s="15">
        <f t="shared" si="1"/>
        <v>1.0322485875926648E-2</v>
      </c>
      <c r="R25" s="15">
        <f t="shared" si="2"/>
        <v>1.53293350119525E-3</v>
      </c>
      <c r="S25" s="15">
        <f t="shared" si="3"/>
        <v>4.1289943503706591E-3</v>
      </c>
      <c r="T25" s="15">
        <v>466</v>
      </c>
    </row>
    <row r="26" spans="1:20" x14ac:dyDescent="0.3">
      <c r="A26">
        <v>2</v>
      </c>
      <c r="B26">
        <v>2</v>
      </c>
      <c r="C26" t="s">
        <v>4</v>
      </c>
      <c r="D26" t="s">
        <v>55</v>
      </c>
      <c r="E26">
        <v>9</v>
      </c>
      <c r="F26" s="9">
        <v>3</v>
      </c>
      <c r="G26">
        <v>6</v>
      </c>
      <c r="H26"/>
      <c r="L26">
        <v>1.7428571428562616E-2</v>
      </c>
      <c r="M26">
        <v>1.3777777777761457E-2</v>
      </c>
      <c r="N26">
        <f>G26*L26+J26*$B$39+K26*$B$40</f>
        <v>0.10457142857137569</v>
      </c>
      <c r="O26">
        <f>G26*(L26-M26) +J26*$B$37+K26*$B$38</f>
        <v>2.1904761904806953E-2</v>
      </c>
      <c r="P26">
        <f t="shared" si="0"/>
        <v>1.1453606634323734E-4</v>
      </c>
      <c r="Q26">
        <f t="shared" si="1"/>
        <v>2.3992072184892612E-5</v>
      </c>
      <c r="R26">
        <f t="shared" si="2"/>
        <v>1.3744333458921865E-5</v>
      </c>
      <c r="S26">
        <f t="shared" si="3"/>
        <v>9.5968288739570458E-6</v>
      </c>
      <c r="T26">
        <v>913</v>
      </c>
    </row>
    <row r="27" spans="1:20" x14ac:dyDescent="0.3">
      <c r="A27">
        <v>2</v>
      </c>
      <c r="B27">
        <v>1</v>
      </c>
      <c r="C27" t="s">
        <v>4</v>
      </c>
      <c r="D27" t="s">
        <v>55</v>
      </c>
      <c r="E27">
        <v>9</v>
      </c>
      <c r="F27" s="9">
        <v>2</v>
      </c>
      <c r="G27">
        <v>4</v>
      </c>
      <c r="H27"/>
      <c r="L27">
        <v>2.0142857142843695E-2</v>
      </c>
      <c r="M27">
        <v>9.6666666666465062E-3</v>
      </c>
      <c r="N27">
        <f>G27*L27+J27*$B$39+K27*$B$40</f>
        <v>8.0571428571374781E-2</v>
      </c>
      <c r="O27">
        <f>G27*(L27-M27) +J27*$B$37+K27*$B$38</f>
        <v>4.1904761904788757E-2</v>
      </c>
      <c r="P27">
        <f t="shared" si="0"/>
        <v>2.1954067730619832E-4</v>
      </c>
      <c r="Q27">
        <f t="shared" si="1"/>
        <v>1.1418191254710832E-4</v>
      </c>
      <c r="R27">
        <f t="shared" si="2"/>
        <v>2.6344891814700525E-5</v>
      </c>
      <c r="S27">
        <f t="shared" si="3"/>
        <v>4.5672765018843331E-5</v>
      </c>
      <c r="T27">
        <v>367</v>
      </c>
    </row>
    <row r="28" spans="1:20" x14ac:dyDescent="0.3">
      <c r="F28" s="9"/>
      <c r="H28"/>
    </row>
    <row r="31" spans="1:20" s="4" customFormat="1" x14ac:dyDescent="0.3">
      <c r="H31" s="10"/>
    </row>
    <row r="32" spans="1:20" s="1" customFormat="1" x14ac:dyDescent="0.3">
      <c r="A32" s="5"/>
      <c r="B32" s="6" t="s">
        <v>7</v>
      </c>
      <c r="C32" s="1" t="s">
        <v>50</v>
      </c>
      <c r="G32" s="1" t="s">
        <v>49</v>
      </c>
      <c r="H32" s="11" t="s">
        <v>47</v>
      </c>
      <c r="I32" s="1" t="s">
        <v>51</v>
      </c>
      <c r="J32" s="1" t="s">
        <v>52</v>
      </c>
      <c r="K32" s="1" t="s">
        <v>53</v>
      </c>
    </row>
    <row r="33" spans="1:11" x14ac:dyDescent="0.3">
      <c r="A33" t="s">
        <v>5</v>
      </c>
      <c r="B33">
        <v>4.0960992907801419E-2</v>
      </c>
      <c r="C33">
        <f>B33*B43</f>
        <v>1.6384397163120568E-2</v>
      </c>
      <c r="G33" t="s">
        <v>22</v>
      </c>
      <c r="H33" s="12">
        <v>1.5942619999999999E-6</v>
      </c>
      <c r="I33" s="7">
        <v>1.2931759999999999E-6</v>
      </c>
      <c r="J33" s="7">
        <v>1.9131910000000001E-7</v>
      </c>
      <c r="K33" s="7">
        <v>5.1727029999999995E-7</v>
      </c>
    </row>
    <row r="34" spans="1:11" x14ac:dyDescent="0.3">
      <c r="A34" t="s">
        <v>14</v>
      </c>
      <c r="B34">
        <v>3.8333333333333344E-2</v>
      </c>
      <c r="C34">
        <f>B34*B43</f>
        <v>1.5333333333333338E-2</v>
      </c>
      <c r="G34" t="s">
        <v>23</v>
      </c>
      <c r="H34" s="13">
        <v>1.698823E-5</v>
      </c>
      <c r="I34" s="7">
        <v>1.3779889999999999E-5</v>
      </c>
      <c r="J34" s="7">
        <v>2.0386689999999998E-6</v>
      </c>
      <c r="K34" s="7">
        <v>5.5119560000000004E-6</v>
      </c>
    </row>
    <row r="35" spans="1:11" x14ac:dyDescent="0.3">
      <c r="A35" t="s">
        <v>6</v>
      </c>
      <c r="B35">
        <v>8.1148936170212765E-2</v>
      </c>
      <c r="C35">
        <f>B35*B42</f>
        <v>9.7378762355760269E-3</v>
      </c>
      <c r="G35" t="s">
        <v>24</v>
      </c>
      <c r="H35" s="14">
        <v>0.51863320000000002</v>
      </c>
      <c r="I35" s="8">
        <v>0.4206859</v>
      </c>
      <c r="J35" s="8">
        <v>6.2238469999999997E-2</v>
      </c>
      <c r="K35" s="8">
        <v>0.16827439999999999</v>
      </c>
    </row>
    <row r="36" spans="1:11" x14ac:dyDescent="0.3">
      <c r="A36" t="s">
        <v>15</v>
      </c>
      <c r="B36">
        <v>0.11769230769230768</v>
      </c>
      <c r="C36">
        <f>B36*B42</f>
        <v>1.4123082572309952E-2</v>
      </c>
      <c r="G36" t="s">
        <v>25</v>
      </c>
      <c r="H36" s="14">
        <v>0.5752256</v>
      </c>
      <c r="I36" s="8">
        <v>0.46659060000000002</v>
      </c>
      <c r="J36" s="8">
        <v>6.9029839999999995E-2</v>
      </c>
      <c r="K36" s="8">
        <v>0.1866362</v>
      </c>
    </row>
    <row r="37" spans="1:11" x14ac:dyDescent="0.3">
      <c r="A37" t="s">
        <v>16</v>
      </c>
      <c r="B37">
        <v>7.8727272727272726E-3</v>
      </c>
      <c r="C37">
        <f>B37*B43</f>
        <v>3.1490909090909091E-3</v>
      </c>
      <c r="G37" t="s">
        <v>26</v>
      </c>
      <c r="H37" s="13">
        <v>8.1637850000000003E-6</v>
      </c>
      <c r="I37" s="7">
        <v>6.6220019999999999E-6</v>
      </c>
      <c r="J37" s="7">
        <v>9.796933999999999E-7</v>
      </c>
      <c r="K37" s="7">
        <v>2.6488010000000002E-6</v>
      </c>
    </row>
    <row r="38" spans="1:11" x14ac:dyDescent="0.3">
      <c r="A38" t="s">
        <v>17</v>
      </c>
      <c r="B38">
        <v>1.8452862770493E-3</v>
      </c>
      <c r="C38">
        <f>B38*B43</f>
        <v>7.3811451081972007E-4</v>
      </c>
    </row>
    <row r="39" spans="1:11" x14ac:dyDescent="0.3">
      <c r="A39" t="s">
        <v>18</v>
      </c>
      <c r="B39">
        <v>1.0460606060606061E-2</v>
      </c>
      <c r="C39">
        <f>B39*B42</f>
        <v>1.2552732293820191E-3</v>
      </c>
    </row>
    <row r="40" spans="1:11" x14ac:dyDescent="0.3">
      <c r="A40" t="s">
        <v>19</v>
      </c>
      <c r="B40">
        <v>1.0120271437051426E-2</v>
      </c>
      <c r="C40">
        <f>B40*B42</f>
        <v>1.2144330582193946E-3</v>
      </c>
    </row>
    <row r="42" spans="1:11" x14ac:dyDescent="0.3">
      <c r="A42" t="s">
        <v>27</v>
      </c>
      <c r="B42">
        <f>1/8.33333</f>
        <v>0.1200000480000192</v>
      </c>
    </row>
    <row r="43" spans="1:11" x14ac:dyDescent="0.3">
      <c r="A43" t="s">
        <v>28</v>
      </c>
      <c r="B43">
        <f>1/2.5</f>
        <v>0.4</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7E8FC-675A-4414-9CDD-8E2D7A7BC2F4}">
  <dimension ref="A1:L38"/>
  <sheetViews>
    <sheetView tabSelected="1" workbookViewId="0">
      <selection activeCell="J5" sqref="J5"/>
    </sheetView>
  </sheetViews>
  <sheetFormatPr defaultRowHeight="14.4" x14ac:dyDescent="0.3"/>
  <cols>
    <col min="1" max="1" width="31.77734375" customWidth="1"/>
    <col min="7" max="7" width="18.6640625" customWidth="1"/>
  </cols>
  <sheetData>
    <row r="1" spans="1:9" s="1" customFormat="1" x14ac:dyDescent="0.3">
      <c r="A1" s="1" t="s">
        <v>2</v>
      </c>
      <c r="B1" s="1" t="s">
        <v>60</v>
      </c>
      <c r="C1" s="1" t="s">
        <v>1</v>
      </c>
      <c r="D1" s="1" t="s">
        <v>61</v>
      </c>
      <c r="E1" s="1" t="s">
        <v>78</v>
      </c>
      <c r="F1" s="1" t="s">
        <v>77</v>
      </c>
      <c r="G1" s="1" t="s">
        <v>76</v>
      </c>
      <c r="I1" s="1" t="s">
        <v>62</v>
      </c>
    </row>
    <row r="2" spans="1:9" x14ac:dyDescent="0.3">
      <c r="A2">
        <v>6</v>
      </c>
      <c r="B2">
        <v>5</v>
      </c>
      <c r="C2" t="s">
        <v>3</v>
      </c>
      <c r="D2">
        <v>0</v>
      </c>
      <c r="E2">
        <v>0</v>
      </c>
      <c r="F2">
        <v>431</v>
      </c>
      <c r="G2">
        <v>0</v>
      </c>
    </row>
    <row r="3" spans="1:9" x14ac:dyDescent="0.3">
      <c r="A3">
        <v>6</v>
      </c>
      <c r="B3">
        <v>4</v>
      </c>
      <c r="C3" t="s">
        <v>3</v>
      </c>
      <c r="D3">
        <v>0</v>
      </c>
      <c r="E3">
        <v>0</v>
      </c>
      <c r="F3">
        <v>128</v>
      </c>
      <c r="G3">
        <v>0</v>
      </c>
    </row>
    <row r="4" spans="1:9" x14ac:dyDescent="0.3">
      <c r="A4">
        <v>6</v>
      </c>
      <c r="B4">
        <v>3</v>
      </c>
      <c r="C4" t="s">
        <v>3</v>
      </c>
      <c r="D4">
        <v>0</v>
      </c>
      <c r="E4">
        <v>0</v>
      </c>
      <c r="F4">
        <v>436</v>
      </c>
      <c r="G4">
        <v>0</v>
      </c>
    </row>
    <row r="5" spans="1:9" x14ac:dyDescent="0.3">
      <c r="A5">
        <v>6</v>
      </c>
      <c r="B5">
        <v>2</v>
      </c>
      <c r="C5" t="s">
        <v>3</v>
      </c>
      <c r="D5">
        <v>0</v>
      </c>
      <c r="E5">
        <v>0</v>
      </c>
      <c r="F5">
        <v>490</v>
      </c>
      <c r="G5">
        <v>0</v>
      </c>
    </row>
    <row r="6" spans="1:9" x14ac:dyDescent="0.3">
      <c r="A6">
        <v>6</v>
      </c>
      <c r="B6">
        <v>1</v>
      </c>
      <c r="C6" t="s">
        <v>3</v>
      </c>
      <c r="D6">
        <v>2</v>
      </c>
      <c r="E6">
        <v>1.9482800000000002E-2</v>
      </c>
      <c r="F6">
        <v>212</v>
      </c>
      <c r="G6" s="17">
        <v>9.1899999999999998E-5</v>
      </c>
      <c r="I6" t="s">
        <v>63</v>
      </c>
    </row>
    <row r="8" spans="1:9" x14ac:dyDescent="0.3">
      <c r="A8">
        <v>6</v>
      </c>
      <c r="B8">
        <v>5</v>
      </c>
      <c r="C8" t="s">
        <v>4</v>
      </c>
      <c r="D8">
        <v>18</v>
      </c>
      <c r="E8">
        <v>0.25383227800000002</v>
      </c>
      <c r="F8">
        <v>431</v>
      </c>
      <c r="G8">
        <v>5.88938E-4</v>
      </c>
      <c r="I8" t="s">
        <v>64</v>
      </c>
    </row>
    <row r="9" spans="1:9" x14ac:dyDescent="0.3">
      <c r="A9">
        <v>6</v>
      </c>
      <c r="B9">
        <v>4</v>
      </c>
      <c r="C9" t="s">
        <v>4</v>
      </c>
      <c r="D9">
        <v>8</v>
      </c>
      <c r="E9">
        <v>9.7152000000000002E-3</v>
      </c>
      <c r="F9">
        <v>128</v>
      </c>
      <c r="G9" s="17">
        <v>7.5900000000000002E-5</v>
      </c>
      <c r="I9" t="s">
        <v>65</v>
      </c>
    </row>
    <row r="10" spans="1:9" x14ac:dyDescent="0.3">
      <c r="A10">
        <v>6</v>
      </c>
      <c r="B10">
        <v>3</v>
      </c>
      <c r="C10" t="s">
        <v>4</v>
      </c>
      <c r="D10">
        <v>32</v>
      </c>
      <c r="E10">
        <v>0.15605748</v>
      </c>
      <c r="F10">
        <v>436</v>
      </c>
      <c r="G10">
        <v>3.5793000000000001E-4</v>
      </c>
      <c r="I10" t="s">
        <v>66</v>
      </c>
    </row>
    <row r="11" spans="1:9" x14ac:dyDescent="0.3">
      <c r="A11">
        <v>6</v>
      </c>
      <c r="B11">
        <v>2</v>
      </c>
      <c r="C11" t="s">
        <v>4</v>
      </c>
      <c r="D11">
        <v>4</v>
      </c>
      <c r="E11">
        <v>4.8558999999999998E-3</v>
      </c>
      <c r="F11">
        <v>490</v>
      </c>
      <c r="G11" s="17">
        <v>9.91E-6</v>
      </c>
      <c r="I11" t="s">
        <v>67</v>
      </c>
    </row>
    <row r="12" spans="1:9" x14ac:dyDescent="0.3">
      <c r="A12">
        <v>6</v>
      </c>
      <c r="B12">
        <v>1</v>
      </c>
      <c r="C12" t="s">
        <v>4</v>
      </c>
      <c r="D12">
        <v>2</v>
      </c>
      <c r="E12">
        <v>2.4380000000000001E-3</v>
      </c>
      <c r="F12">
        <v>212</v>
      </c>
      <c r="G12" s="17">
        <v>1.15E-5</v>
      </c>
      <c r="I12" t="s">
        <v>68</v>
      </c>
    </row>
    <row r="14" spans="1:9" x14ac:dyDescent="0.3">
      <c r="A14">
        <v>9</v>
      </c>
      <c r="B14">
        <v>5</v>
      </c>
      <c r="C14" t="s">
        <v>3</v>
      </c>
      <c r="D14">
        <v>0</v>
      </c>
      <c r="E14">
        <v>0</v>
      </c>
      <c r="F14">
        <v>510</v>
      </c>
      <c r="G14">
        <v>0</v>
      </c>
    </row>
    <row r="15" spans="1:9" x14ac:dyDescent="0.3">
      <c r="A15">
        <v>9</v>
      </c>
      <c r="B15">
        <v>4</v>
      </c>
      <c r="C15" t="s">
        <v>3</v>
      </c>
      <c r="D15">
        <v>0</v>
      </c>
      <c r="E15">
        <v>0</v>
      </c>
      <c r="F15">
        <v>209</v>
      </c>
      <c r="G15">
        <v>0</v>
      </c>
    </row>
    <row r="16" spans="1:9" x14ac:dyDescent="0.3">
      <c r="A16">
        <v>9</v>
      </c>
      <c r="B16">
        <v>3</v>
      </c>
      <c r="C16" t="s">
        <v>3</v>
      </c>
      <c r="D16">
        <v>0</v>
      </c>
      <c r="E16">
        <v>0</v>
      </c>
      <c r="F16">
        <v>466</v>
      </c>
      <c r="G16">
        <v>0</v>
      </c>
    </row>
    <row r="17" spans="1:12" x14ac:dyDescent="0.3">
      <c r="A17">
        <v>9</v>
      </c>
      <c r="B17">
        <v>2</v>
      </c>
      <c r="C17" t="s">
        <v>3</v>
      </c>
      <c r="D17">
        <v>0</v>
      </c>
      <c r="E17">
        <v>0</v>
      </c>
      <c r="F17">
        <v>913</v>
      </c>
      <c r="G17">
        <v>0</v>
      </c>
    </row>
    <row r="18" spans="1:12" x14ac:dyDescent="0.3">
      <c r="A18">
        <v>9</v>
      </c>
      <c r="B18">
        <v>1</v>
      </c>
      <c r="C18" t="s">
        <v>3</v>
      </c>
      <c r="D18">
        <v>0</v>
      </c>
      <c r="E18">
        <v>0</v>
      </c>
      <c r="F18">
        <v>367</v>
      </c>
      <c r="G18">
        <v>0</v>
      </c>
    </row>
    <row r="20" spans="1:12" x14ac:dyDescent="0.3">
      <c r="A20">
        <v>9</v>
      </c>
      <c r="B20">
        <v>5</v>
      </c>
      <c r="C20" t="s">
        <v>4</v>
      </c>
      <c r="D20">
        <v>22</v>
      </c>
      <c r="E20">
        <v>0.1490118</v>
      </c>
      <c r="F20">
        <v>510</v>
      </c>
      <c r="G20">
        <v>2.9218000000000001E-4</v>
      </c>
      <c r="I20" t="s">
        <v>69</v>
      </c>
    </row>
    <row r="21" spans="1:12" x14ac:dyDescent="0.3">
      <c r="A21">
        <v>9</v>
      </c>
      <c r="B21">
        <v>4</v>
      </c>
      <c r="C21" t="s">
        <v>4</v>
      </c>
      <c r="D21">
        <v>32</v>
      </c>
      <c r="E21">
        <v>3.9925269999999999E-2</v>
      </c>
      <c r="F21">
        <v>209</v>
      </c>
      <c r="G21">
        <v>1.9102999999999999E-4</v>
      </c>
      <c r="I21" t="s">
        <v>70</v>
      </c>
    </row>
    <row r="22" spans="1:12" x14ac:dyDescent="0.3">
      <c r="A22">
        <v>9</v>
      </c>
      <c r="B22">
        <v>3</v>
      </c>
      <c r="C22" t="s">
        <v>4</v>
      </c>
      <c r="D22">
        <v>22</v>
      </c>
      <c r="E22">
        <v>2.6701800000000001E-2</v>
      </c>
      <c r="F22">
        <v>466</v>
      </c>
      <c r="G22" s="17">
        <v>5.7299999999999997E-5</v>
      </c>
      <c r="I22" t="s">
        <v>71</v>
      </c>
    </row>
    <row r="23" spans="1:12" x14ac:dyDescent="0.3">
      <c r="A23">
        <v>9</v>
      </c>
      <c r="B23">
        <v>2</v>
      </c>
      <c r="C23" t="s">
        <v>4</v>
      </c>
      <c r="D23">
        <v>6</v>
      </c>
      <c r="E23">
        <v>7.2857399999999998E-3</v>
      </c>
      <c r="F23">
        <v>913</v>
      </c>
      <c r="G23" s="17">
        <v>7.9799999999999998E-6</v>
      </c>
      <c r="I23" t="s">
        <v>72</v>
      </c>
    </row>
    <row r="24" spans="1:12" x14ac:dyDescent="0.3">
      <c r="A24">
        <v>9</v>
      </c>
      <c r="B24">
        <v>1</v>
      </c>
      <c r="C24" t="s">
        <v>4</v>
      </c>
      <c r="D24">
        <v>0</v>
      </c>
      <c r="E24">
        <v>0</v>
      </c>
      <c r="F24">
        <v>367</v>
      </c>
      <c r="G24">
        <v>0</v>
      </c>
    </row>
    <row r="26" spans="1:12" s="4" customFormat="1" x14ac:dyDescent="0.3"/>
    <row r="27" spans="1:12" x14ac:dyDescent="0.3">
      <c r="A27" s="5"/>
      <c r="B27" s="6" t="s">
        <v>7</v>
      </c>
      <c r="C27" s="1" t="s">
        <v>50</v>
      </c>
      <c r="D27" s="1"/>
      <c r="E27" s="1"/>
      <c r="F27" s="1"/>
      <c r="G27" s="1" t="s">
        <v>75</v>
      </c>
      <c r="H27" s="11" t="s">
        <v>47</v>
      </c>
      <c r="I27" s="1" t="s">
        <v>51</v>
      </c>
      <c r="J27" s="1" t="s">
        <v>52</v>
      </c>
      <c r="K27" s="1" t="s">
        <v>53</v>
      </c>
      <c r="L27" s="1"/>
    </row>
    <row r="28" spans="1:12" x14ac:dyDescent="0.3">
      <c r="A28" t="s">
        <v>5</v>
      </c>
      <c r="B28">
        <v>4.0960992907801419E-2</v>
      </c>
      <c r="C28">
        <f>B28*B38</f>
        <v>1.6384397163120568E-2</v>
      </c>
      <c r="G28" t="s">
        <v>22</v>
      </c>
      <c r="H28" s="12">
        <v>1.5942619999999999E-6</v>
      </c>
      <c r="I28" s="7">
        <v>1.2931759999999999E-6</v>
      </c>
      <c r="J28" s="7">
        <v>1.9131910000000001E-7</v>
      </c>
      <c r="K28" s="7">
        <v>5.1727029999999995E-7</v>
      </c>
    </row>
    <row r="29" spans="1:12" x14ac:dyDescent="0.3">
      <c r="A29" t="s">
        <v>14</v>
      </c>
      <c r="B29">
        <v>3.8333333333333344E-2</v>
      </c>
      <c r="C29">
        <f>B29*B38</f>
        <v>1.5333333333333338E-2</v>
      </c>
      <c r="G29" t="s">
        <v>23</v>
      </c>
      <c r="H29" s="13">
        <v>1.698823E-5</v>
      </c>
      <c r="I29" s="7">
        <v>1.3779889999999999E-5</v>
      </c>
      <c r="J29" s="7">
        <v>2.0386689999999998E-6</v>
      </c>
      <c r="K29" s="7">
        <v>5.5119560000000004E-6</v>
      </c>
    </row>
    <row r="30" spans="1:12" x14ac:dyDescent="0.3">
      <c r="A30" t="s">
        <v>6</v>
      </c>
      <c r="B30">
        <v>8.1148936170212765E-2</v>
      </c>
      <c r="C30">
        <f>B30*B37</f>
        <v>9.7378762355760269E-3</v>
      </c>
      <c r="G30" t="s">
        <v>24</v>
      </c>
      <c r="H30" s="14">
        <v>0.51863320000000002</v>
      </c>
      <c r="I30" s="8">
        <v>0.4206859</v>
      </c>
      <c r="J30" s="8">
        <v>6.2238469999999997E-2</v>
      </c>
      <c r="K30" s="8">
        <v>0.16827439999999999</v>
      </c>
    </row>
    <row r="31" spans="1:12" x14ac:dyDescent="0.3">
      <c r="A31" t="s">
        <v>15</v>
      </c>
      <c r="B31">
        <v>0.11769230769230768</v>
      </c>
      <c r="C31">
        <f>B31*B37</f>
        <v>1.4123082572309952E-2</v>
      </c>
      <c r="G31" t="s">
        <v>25</v>
      </c>
      <c r="H31" s="14">
        <v>0.5752256</v>
      </c>
      <c r="I31" s="8">
        <v>0.46659060000000002</v>
      </c>
      <c r="J31" s="8">
        <v>6.9029839999999995E-2</v>
      </c>
      <c r="K31" s="8">
        <v>0.1866362</v>
      </c>
    </row>
    <row r="32" spans="1:12" x14ac:dyDescent="0.3">
      <c r="A32" t="s">
        <v>16</v>
      </c>
      <c r="B32">
        <v>7.8727272727272726E-3</v>
      </c>
      <c r="C32">
        <f>B32*B38</f>
        <v>3.1490909090909091E-3</v>
      </c>
      <c r="G32" t="s">
        <v>26</v>
      </c>
      <c r="H32" s="13">
        <v>8.1637850000000003E-6</v>
      </c>
      <c r="I32" s="7">
        <v>6.6220019999999999E-6</v>
      </c>
      <c r="J32" s="7">
        <v>9.796933999999999E-7</v>
      </c>
      <c r="K32" s="7">
        <v>2.6488010000000002E-6</v>
      </c>
    </row>
    <row r="33" spans="1:11" x14ac:dyDescent="0.3">
      <c r="A33" t="s">
        <v>17</v>
      </c>
      <c r="B33">
        <v>1.8452862770493E-3</v>
      </c>
      <c r="C33">
        <f>B33*B38</f>
        <v>7.3811451081972007E-4</v>
      </c>
      <c r="G33" t="s">
        <v>73</v>
      </c>
      <c r="H33" s="14">
        <v>0.51863320000000002</v>
      </c>
      <c r="I33" s="8">
        <v>0.4206859</v>
      </c>
      <c r="J33" s="8">
        <v>6.2238469999999997E-2</v>
      </c>
      <c r="K33" s="8">
        <v>0.16827439999999999</v>
      </c>
    </row>
    <row r="34" spans="1:11" x14ac:dyDescent="0.3">
      <c r="A34" t="s">
        <v>18</v>
      </c>
      <c r="B34">
        <v>1.0460606060606061E-2</v>
      </c>
      <c r="C34">
        <f>B34*B37</f>
        <v>1.2552732293820191E-3</v>
      </c>
      <c r="G34" t="s">
        <v>74</v>
      </c>
      <c r="H34" s="14">
        <v>0.51863320000000002</v>
      </c>
      <c r="I34" s="8">
        <v>0.4206859</v>
      </c>
      <c r="J34" s="8">
        <v>6.2238469999999997E-2</v>
      </c>
      <c r="K34" s="8">
        <v>0.16827439999999999</v>
      </c>
    </row>
    <row r="35" spans="1:11" x14ac:dyDescent="0.3">
      <c r="A35" t="s">
        <v>19</v>
      </c>
      <c r="B35">
        <v>1.0120271437051426E-2</v>
      </c>
      <c r="C35">
        <f>B35*B37</f>
        <v>1.2144330582193946E-3</v>
      </c>
      <c r="H35" s="9"/>
    </row>
    <row r="36" spans="1:11" x14ac:dyDescent="0.3">
      <c r="H36" s="9"/>
    </row>
    <row r="37" spans="1:11" x14ac:dyDescent="0.3">
      <c r="A37" t="s">
        <v>27</v>
      </c>
      <c r="B37">
        <f>1/8.33333</f>
        <v>0.1200000480000192</v>
      </c>
      <c r="H37" s="9"/>
    </row>
    <row r="38" spans="1:11" x14ac:dyDescent="0.3">
      <c r="A38" t="s">
        <v>28</v>
      </c>
      <c r="B38">
        <f>1/2.5</f>
        <v>0.4</v>
      </c>
      <c r="H38" s="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calculations full shells</vt:lpstr>
      <vt:lpstr>calculations empty shells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Kruijt, A.L. (Anne)</dc:creator>
  <cp:lastModifiedBy>Kruijt, A.L. (Anne)</cp:lastModifiedBy>
  <dcterms:created xsi:type="dcterms:W3CDTF">2024-01-31T09:17:45Z</dcterms:created>
  <dcterms:modified xsi:type="dcterms:W3CDTF">2025-07-18T08:24:23Z</dcterms:modified>
</cp:coreProperties>
</file>