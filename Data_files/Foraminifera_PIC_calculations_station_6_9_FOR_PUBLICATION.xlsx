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https://solisservices-my.sharepoint.com/personal/a_l_kruijt_uu_nl/Documents/ANNE PhD current work/Chapter 2 Data paper pankton/excelsheets/for paper/"/>
    </mc:Choice>
  </mc:AlternateContent>
  <xr:revisionPtr revIDLastSave="64" documentId="8_{8A7BB82C-03AA-40C4-A1CF-9D2BED861172}" xr6:coauthVersionLast="47" xr6:coauthVersionMax="47" xr10:uidLastSave="{8E578F09-FAE0-473A-B24A-FF6BA3BBECE2}"/>
  <bookViews>
    <workbookView xWindow="-108" yWindow="-108" windowWidth="23256" windowHeight="12576" xr2:uid="{DB230323-4ABA-4F2D-9563-265002FA75AC}"/>
  </bookViews>
  <sheets>
    <sheet name="info" sheetId="2" r:id="rId1"/>
    <sheet name="weight data" sheetId="1" r:id="rId2"/>
    <sheet name="corrected data"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16" i="3" l="1"/>
  <c r="Q15" i="3" l="1"/>
  <c r="Q10" i="3"/>
  <c r="Q9" i="3"/>
  <c r="P17" i="3"/>
  <c r="P9" i="3"/>
  <c r="Q8" i="3"/>
  <c r="Q11" i="3"/>
  <c r="Q12" i="3"/>
  <c r="Q13" i="3"/>
  <c r="Q14" i="3"/>
  <c r="Q17" i="3"/>
  <c r="Q18" i="3"/>
  <c r="Q19" i="3"/>
  <c r="Q20" i="3"/>
  <c r="Q21" i="3"/>
  <c r="Q22" i="3"/>
  <c r="Q23" i="3"/>
  <c r="Q24" i="3"/>
  <c r="Q25" i="3"/>
  <c r="Q26" i="3"/>
  <c r="Q27" i="3"/>
  <c r="Q28" i="3"/>
  <c r="Q29" i="3"/>
  <c r="Q7" i="3"/>
  <c r="P8" i="3"/>
  <c r="P10" i="3"/>
  <c r="P11" i="3"/>
  <c r="P12" i="3"/>
  <c r="P13" i="3"/>
  <c r="P14" i="3"/>
  <c r="P15" i="3"/>
  <c r="P16" i="3"/>
  <c r="P18" i="3"/>
  <c r="P19" i="3"/>
  <c r="P20" i="3"/>
  <c r="P21" i="3"/>
  <c r="P22" i="3"/>
  <c r="P23" i="3"/>
  <c r="P24" i="3"/>
  <c r="P25" i="3"/>
  <c r="P26" i="3"/>
  <c r="P27" i="3"/>
  <c r="P28" i="3"/>
  <c r="P29" i="3"/>
  <c r="P7" i="3"/>
  <c r="B3" i="3"/>
  <c r="I7" i="3" l="1"/>
  <c r="O8" i="3" l="1"/>
  <c r="O9" i="3"/>
  <c r="O10" i="3"/>
  <c r="O11" i="3"/>
  <c r="O12" i="3"/>
  <c r="O13" i="3"/>
  <c r="O14" i="3"/>
  <c r="O15" i="3"/>
  <c r="O16" i="3"/>
  <c r="O17" i="3"/>
  <c r="O18" i="3"/>
  <c r="O19" i="3"/>
  <c r="O20" i="3"/>
  <c r="O21" i="3"/>
  <c r="O22" i="3"/>
  <c r="O23" i="3"/>
  <c r="O24" i="3"/>
  <c r="O25" i="3"/>
  <c r="O26" i="3"/>
  <c r="O27" i="3"/>
  <c r="O28" i="3"/>
  <c r="O29" i="3"/>
  <c r="N8" i="3"/>
  <c r="N9" i="3"/>
  <c r="N10" i="3"/>
  <c r="N11" i="3"/>
  <c r="N13" i="3"/>
  <c r="N14" i="3"/>
  <c r="N15" i="3"/>
  <c r="N16" i="3"/>
  <c r="N17" i="3"/>
  <c r="N19" i="3"/>
  <c r="N20" i="3"/>
  <c r="N21" i="3"/>
  <c r="N22" i="3"/>
  <c r="N23" i="3"/>
  <c r="N25" i="3"/>
  <c r="N26" i="3"/>
  <c r="N27" i="3"/>
  <c r="N28" i="3"/>
  <c r="N29" i="3"/>
  <c r="F3" i="3"/>
  <c r="K9" i="3" s="1"/>
  <c r="I8" i="3"/>
  <c r="I9" i="3"/>
  <c r="I10" i="3"/>
  <c r="I11" i="3"/>
  <c r="I12" i="3"/>
  <c r="I13" i="3"/>
  <c r="J13" i="3" s="1"/>
  <c r="I14" i="3"/>
  <c r="I15" i="3"/>
  <c r="I16" i="3"/>
  <c r="I17" i="3"/>
  <c r="I18" i="3"/>
  <c r="I19" i="3"/>
  <c r="I20" i="3"/>
  <c r="I21" i="3"/>
  <c r="J21" i="3" s="1"/>
  <c r="I22" i="3"/>
  <c r="I23" i="3"/>
  <c r="I24" i="3"/>
  <c r="I25" i="3"/>
  <c r="I26" i="3"/>
  <c r="I27" i="3"/>
  <c r="I28" i="3"/>
  <c r="I29" i="3"/>
  <c r="J7" i="3"/>
  <c r="N7" i="3" s="1"/>
  <c r="O7" i="3" s="1"/>
  <c r="J14" i="3"/>
  <c r="J15" i="3"/>
  <c r="J22" i="3"/>
  <c r="J23" i="3"/>
  <c r="J29" i="3"/>
  <c r="J12" i="3"/>
  <c r="J20" i="3"/>
  <c r="J28" i="3"/>
  <c r="H8" i="3"/>
  <c r="J8" i="3" s="1"/>
  <c r="H9" i="3"/>
  <c r="J9" i="3" s="1"/>
  <c r="H10" i="3"/>
  <c r="H11" i="3"/>
  <c r="J11" i="3" s="1"/>
  <c r="H12" i="3"/>
  <c r="H13" i="3"/>
  <c r="H14" i="3"/>
  <c r="H15" i="3"/>
  <c r="H16" i="3"/>
  <c r="J16" i="3" s="1"/>
  <c r="H17" i="3"/>
  <c r="J17" i="3" s="1"/>
  <c r="H18" i="3"/>
  <c r="H19" i="3"/>
  <c r="J19" i="3" s="1"/>
  <c r="H20" i="3"/>
  <c r="H21" i="3"/>
  <c r="H22" i="3"/>
  <c r="H23" i="3"/>
  <c r="H24" i="3"/>
  <c r="J24" i="3" s="1"/>
  <c r="H25" i="3"/>
  <c r="J25" i="3" s="1"/>
  <c r="H26" i="3"/>
  <c r="H27" i="3"/>
  <c r="J27" i="3" s="1"/>
  <c r="H28" i="3"/>
  <c r="H29" i="3"/>
  <c r="H7" i="3"/>
  <c r="B4" i="3"/>
  <c r="E3" i="1"/>
  <c r="K8" i="1"/>
  <c r="K7" i="1"/>
  <c r="E2" i="1" s="1"/>
  <c r="J8" i="1"/>
  <c r="J7" i="1"/>
  <c r="H2" i="1" s="1"/>
  <c r="K27" i="3" l="1"/>
  <c r="K15" i="3"/>
  <c r="K17" i="3"/>
  <c r="K16" i="3"/>
  <c r="K8" i="3"/>
  <c r="K14" i="3"/>
  <c r="K11" i="3"/>
  <c r="K21" i="3"/>
  <c r="K28" i="3"/>
  <c r="K19" i="3"/>
  <c r="K23" i="3"/>
  <c r="K13" i="3"/>
  <c r="K20" i="3"/>
  <c r="K25" i="3"/>
  <c r="K22" i="3"/>
  <c r="K29" i="3"/>
  <c r="K7" i="3"/>
  <c r="J26" i="3"/>
  <c r="K26" i="3" s="1"/>
  <c r="J18" i="3"/>
  <c r="J10" i="3"/>
  <c r="K10" i="3" s="1"/>
</calcChain>
</file>

<file path=xl/sharedStrings.xml><?xml version="1.0" encoding="utf-8"?>
<sst xmlns="http://schemas.openxmlformats.org/spreadsheetml/2006/main" count="87" uniqueCount="54">
  <si>
    <t>net number</t>
  </si>
  <si>
    <t>station</t>
  </si>
  <si>
    <t>dry weight</t>
  </si>
  <si>
    <t>ashed weight</t>
  </si>
  <si>
    <t>average dryweight per shell</t>
  </si>
  <si>
    <t>average ashed weight per shell</t>
  </si>
  <si>
    <t>volume sampled</t>
  </si>
  <si>
    <t>full/empty</t>
  </si>
  <si>
    <t>empty</t>
  </si>
  <si>
    <t>from CaCO3 to PIC</t>
  </si>
  <si>
    <t>from Corg to POC</t>
  </si>
  <si>
    <t>FORAM weights dry, ashed, PIC, POC</t>
  </si>
  <si>
    <t>Average shell Corg content from measurements</t>
  </si>
  <si>
    <t>Average shell CaCO3 weight from measurements</t>
  </si>
  <si>
    <t>full</t>
  </si>
  <si>
    <t>[m3]</t>
  </si>
  <si>
    <t>[mg]</t>
  </si>
  <si>
    <t>[mg/m3]</t>
  </si>
  <si>
    <t>For stations 6 and 9 on Beyond expedition 64PE513</t>
  </si>
  <si>
    <t>Auhtor of excel sheet: Anne Kruijt, a.l.kruijt@uu.nl</t>
  </si>
  <si>
    <t>Multinet counts and weights of forams, translated to PIC and POC</t>
  </si>
  <si>
    <t># number corrected for mesh size</t>
  </si>
  <si>
    <t># small size fraction</t>
  </si>
  <si>
    <t>concentration CaCO3 small size fraction</t>
  </si>
  <si>
    <t>adult</t>
  </si>
  <si>
    <t>juvenile</t>
  </si>
  <si>
    <t>CaCO3 concentration total</t>
  </si>
  <si>
    <t>Average shell CaCO3 weight from measurements [mg]</t>
  </si>
  <si>
    <t>PIC conc</t>
  </si>
  <si>
    <t>mg</t>
  </si>
  <si>
    <t>ug</t>
  </si>
  <si>
    <t># number corrected for mulitnet split</t>
  </si>
  <si>
    <t>a) the empty and full shells were picked and counted separately for each net. The full-shell samples from st.6 net 5,4 were weighed, ashed and weighed again and then divided by the number of shells in the sample at the time of weighing, to obtain average weight of CaCO3 for each shell in those samples</t>
  </si>
  <si>
    <t>b) we make the assumption that this average shell weighed can be applied to the shells in all net samples. To obtain the total CaCO3 weight of each sample, we multiply the original counted number of full and empty shells by this average shell CaCO3 weight</t>
  </si>
  <si>
    <t>The corrections using Chaabane 2024 method sheet contains the calculated CaCO3 and PIC mass in each net sample</t>
  </si>
  <si>
    <t>PIC conc large</t>
  </si>
  <si>
    <t>PIC conc small</t>
  </si>
  <si>
    <t>Last update by author: July 2025</t>
  </si>
  <si>
    <t>Sheet 1: info</t>
  </si>
  <si>
    <t>Sheet 2: weighed samples</t>
  </si>
  <si>
    <t>Content</t>
  </si>
  <si>
    <t>Step wise methodology</t>
  </si>
  <si>
    <t>1) reconstructing foram PIC concentration, using foram counts: counts taken from the multinet-data-count excel sheet (authors: Robin van Dijk en Danielle van den Burg) Contains counts of all speciment in each net</t>
  </si>
  <si>
    <t xml:space="preserve">c) to correct for the use of a 200um mesh size net, we use the formula described in Chaabane et al. 2024, and compute the number of specimen in the small size fraction of 125-200 um, that we missed in each net sample that would have been by using a large mesh size. </t>
  </si>
  <si>
    <t xml:space="preserve">d) we estimated the weight of these small specimen by sieving ashed surface water samples from the same region at the same time, that were collected using a plankton pump, that has a mesh of 100um. We sieved the sample over a 200 and a 75 um mesh to obtain forams in the correct size fraction. We then picked 75 forams and weihed them on a micro balance at Cerege, to obtain the average weight of a small foram. </t>
  </si>
  <si>
    <t>e) This average weight was then multiplied by the calculated number of small specimen to obtain the total CaCO3 weight of the missing fraction.</t>
  </si>
  <si>
    <t>f) All the measured and reconstructed CaCO3 weights for each net were summed up and divided by 8.3333 to obtain the total PIC weight in each net for each station.</t>
  </si>
  <si>
    <t>g) For the PIC concentration, this PIC weight was then divided by the volume filtered by the corresponding net</t>
  </si>
  <si>
    <t>FORAM weights dry, ashed</t>
  </si>
  <si>
    <t>#original number (as in count sheet)</t>
  </si>
  <si>
    <t>#number ashed weight (counted before weighing)</t>
  </si>
  <si>
    <t>#number dry weight (counted before weighing)</t>
  </si>
  <si>
    <t>Sheet 3: corrected data: sample counts, corrections and resulting PIC concentrations</t>
  </si>
  <si>
    <t>#original count number (counted when picked from sample)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</si>
</sst>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sz val="18"/>
      <color theme="1"/>
      <name val="Calibri"/>
      <family val="2"/>
      <scheme val="minor"/>
    </font>
    <font>
      <sz val="12"/>
      <color theme="1"/>
      <name val="Calibri"/>
      <family val="2"/>
      <scheme val="minor"/>
    </font>
    <font>
      <b/>
      <sz val="18"/>
      <color theme="1"/>
      <name val="Calibri"/>
      <family val="2"/>
      <scheme val="minor"/>
    </font>
  </fonts>
  <fills count="2">
    <fill>
      <patternFill patternType="none"/>
    </fill>
    <fill>
      <patternFill patternType="gray125"/>
    </fill>
  </fills>
  <borders count="5">
    <border>
      <left/>
      <right/>
      <top/>
      <bottom/>
      <diagonal/>
    </border>
    <border>
      <left/>
      <right/>
      <top style="medium">
        <color indexed="64"/>
      </top>
      <bottom/>
      <diagonal/>
    </border>
    <border>
      <left/>
      <right style="medium">
        <color indexed="64"/>
      </right>
      <top style="medium">
        <color indexed="64"/>
      </top>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13">
    <xf numFmtId="0" fontId="0" fillId="0" borderId="0" xfId="0"/>
    <xf numFmtId="0" fontId="1" fillId="0" borderId="0" xfId="0" applyFont="1"/>
    <xf numFmtId="0" fontId="0" fillId="0" borderId="1" xfId="0" applyBorder="1"/>
    <xf numFmtId="0" fontId="0" fillId="0" borderId="2" xfId="0" applyBorder="1"/>
    <xf numFmtId="0" fontId="0" fillId="0" borderId="3" xfId="0" applyBorder="1"/>
    <xf numFmtId="0" fontId="0" fillId="0" borderId="4" xfId="0" applyBorder="1"/>
    <xf numFmtId="0" fontId="0" fillId="0" borderId="0" xfId="0" applyBorder="1"/>
    <xf numFmtId="0" fontId="2" fillId="0" borderId="0" xfId="0" applyFont="1"/>
    <xf numFmtId="0" fontId="3" fillId="0" borderId="0" xfId="0" applyFont="1"/>
    <xf numFmtId="0" fontId="0" fillId="0" borderId="0" xfId="0" applyFill="1"/>
    <xf numFmtId="0" fontId="0" fillId="0" borderId="0" xfId="0" applyFont="1"/>
    <xf numFmtId="0" fontId="1" fillId="0" borderId="0" xfId="0" applyFont="1" applyFill="1"/>
    <xf numFmtId="0" fontId="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568AA-693D-4713-872D-508EEE5AB82B}">
  <dimension ref="A1:D24"/>
  <sheetViews>
    <sheetView tabSelected="1" workbookViewId="0">
      <selection activeCell="I8" sqref="I8"/>
    </sheetView>
  </sheetViews>
  <sheetFormatPr defaultRowHeight="14.4" x14ac:dyDescent="0.3"/>
  <sheetData>
    <row r="1" spans="1:4" ht="23.4" x14ac:dyDescent="0.45">
      <c r="A1" s="12" t="s">
        <v>20</v>
      </c>
    </row>
    <row r="2" spans="1:4" ht="23.4" x14ac:dyDescent="0.45">
      <c r="A2" s="12" t="s">
        <v>18</v>
      </c>
      <c r="B2" s="7"/>
      <c r="C2" s="7"/>
      <c r="D2" s="7"/>
    </row>
    <row r="4" spans="1:4" ht="15.6" x14ac:dyDescent="0.3">
      <c r="A4" s="8" t="s">
        <v>19</v>
      </c>
    </row>
    <row r="6" spans="1:4" x14ac:dyDescent="0.3">
      <c r="A6" t="s">
        <v>37</v>
      </c>
    </row>
    <row r="8" spans="1:4" x14ac:dyDescent="0.3">
      <c r="A8" s="1" t="s">
        <v>40</v>
      </c>
    </row>
    <row r="9" spans="1:4" x14ac:dyDescent="0.3">
      <c r="A9" t="s">
        <v>38</v>
      </c>
    </row>
    <row r="10" spans="1:4" x14ac:dyDescent="0.3">
      <c r="A10" t="s">
        <v>39</v>
      </c>
    </row>
    <row r="11" spans="1:4" x14ac:dyDescent="0.3">
      <c r="A11" t="s">
        <v>52</v>
      </c>
    </row>
    <row r="15" spans="1:4" x14ac:dyDescent="0.3">
      <c r="A15" t="s">
        <v>34</v>
      </c>
    </row>
    <row r="16" spans="1:4" x14ac:dyDescent="0.3">
      <c r="A16" s="1" t="s">
        <v>41</v>
      </c>
    </row>
    <row r="17" spans="1:1" x14ac:dyDescent="0.3">
      <c r="A17" t="s">
        <v>42</v>
      </c>
    </row>
    <row r="18" spans="1:1" x14ac:dyDescent="0.3">
      <c r="A18" t="s">
        <v>32</v>
      </c>
    </row>
    <row r="19" spans="1:1" x14ac:dyDescent="0.3">
      <c r="A19" t="s">
        <v>33</v>
      </c>
    </row>
    <row r="20" spans="1:1" x14ac:dyDescent="0.3">
      <c r="A20" t="s">
        <v>43</v>
      </c>
    </row>
    <row r="21" spans="1:1" x14ac:dyDescent="0.3">
      <c r="A21" t="s">
        <v>44</v>
      </c>
    </row>
    <row r="22" spans="1:1" x14ac:dyDescent="0.3">
      <c r="A22" t="s">
        <v>45</v>
      </c>
    </row>
    <row r="23" spans="1:1" x14ac:dyDescent="0.3">
      <c r="A23" t="s">
        <v>46</v>
      </c>
    </row>
    <row r="24" spans="1:1" x14ac:dyDescent="0.3">
      <c r="A24" t="s">
        <v>47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CCF2AE-AA54-41E9-A105-D90E14D74085}">
  <dimension ref="A1:Q8"/>
  <sheetViews>
    <sheetView zoomScale="60" zoomScaleNormal="60" workbookViewId="0">
      <selection activeCell="K32" sqref="K32"/>
    </sheetView>
  </sheetViews>
  <sheetFormatPr defaultRowHeight="14.4" x14ac:dyDescent="0.3"/>
  <cols>
    <col min="1" max="1" width="16.109375" customWidth="1"/>
    <col min="2" max="2" width="15.5546875" customWidth="1"/>
    <col min="5" max="5" width="17.88671875" customWidth="1"/>
    <col min="6" max="6" width="17.6640625" customWidth="1"/>
    <col min="7" max="7" width="17.21875" customWidth="1"/>
    <col min="8" max="8" width="12.77734375" customWidth="1"/>
    <col min="9" max="9" width="12.88671875" customWidth="1"/>
    <col min="10" max="10" width="16.44140625" customWidth="1"/>
    <col min="11" max="11" width="37.44140625" customWidth="1"/>
    <col min="12" max="12" width="21.5546875" customWidth="1"/>
    <col min="13" max="13" width="20.6640625" customWidth="1"/>
    <col min="14" max="14" width="28" customWidth="1"/>
    <col min="15" max="15" width="27.44140625" customWidth="1"/>
    <col min="16" max="16" width="15.5546875" customWidth="1"/>
    <col min="17" max="17" width="8.88671875" style="9"/>
  </cols>
  <sheetData>
    <row r="1" spans="1:17" x14ac:dyDescent="0.3">
      <c r="A1" s="1" t="s">
        <v>48</v>
      </c>
      <c r="E1" t="s">
        <v>13</v>
      </c>
      <c r="H1" t="s">
        <v>12</v>
      </c>
    </row>
    <row r="2" spans="1:17" x14ac:dyDescent="0.3">
      <c r="A2" s="6"/>
      <c r="B2" s="6"/>
      <c r="C2" s="6"/>
      <c r="E2">
        <f>(K7+K8)/2</f>
        <v>1.1016000000002123E-2</v>
      </c>
      <c r="F2" t="s">
        <v>29</v>
      </c>
      <c r="H2">
        <f xml:space="preserve"> ((J7-K7) + (J8 -K8)) /2</f>
        <v>1.2599993333272681E-3</v>
      </c>
      <c r="I2" t="s">
        <v>29</v>
      </c>
    </row>
    <row r="3" spans="1:17" x14ac:dyDescent="0.3">
      <c r="A3" s="6"/>
      <c r="B3" s="6"/>
      <c r="C3" s="6"/>
      <c r="E3">
        <f>E2*1000</f>
        <v>11.016000000002123</v>
      </c>
      <c r="F3" t="s">
        <v>30</v>
      </c>
    </row>
    <row r="4" spans="1:17" x14ac:dyDescent="0.3">
      <c r="A4" s="6"/>
      <c r="B4" s="6"/>
      <c r="C4" s="6"/>
    </row>
    <row r="5" spans="1:17" x14ac:dyDescent="0.3">
      <c r="A5" s="6"/>
      <c r="B5" s="6"/>
      <c r="C5" s="6"/>
      <c r="H5" t="s">
        <v>16</v>
      </c>
      <c r="I5" t="s">
        <v>16</v>
      </c>
      <c r="J5" t="s">
        <v>16</v>
      </c>
      <c r="K5" t="s">
        <v>16</v>
      </c>
    </row>
    <row r="6" spans="1:17" s="1" customFormat="1" x14ac:dyDescent="0.3">
      <c r="B6" s="1" t="s">
        <v>0</v>
      </c>
      <c r="C6" s="1" t="s">
        <v>7</v>
      </c>
      <c r="D6" s="1" t="s">
        <v>1</v>
      </c>
      <c r="E6" s="1" t="s">
        <v>51</v>
      </c>
      <c r="F6" s="1" t="s">
        <v>50</v>
      </c>
      <c r="G6" s="1" t="s">
        <v>49</v>
      </c>
      <c r="H6" s="1" t="s">
        <v>2</v>
      </c>
      <c r="I6" s="1" t="s">
        <v>3</v>
      </c>
      <c r="J6" s="1" t="s">
        <v>4</v>
      </c>
      <c r="K6" s="1" t="s">
        <v>5</v>
      </c>
      <c r="Q6" s="11"/>
    </row>
    <row r="7" spans="1:17" x14ac:dyDescent="0.3">
      <c r="B7">
        <v>5</v>
      </c>
      <c r="C7" t="s">
        <v>14</v>
      </c>
      <c r="D7">
        <v>6</v>
      </c>
      <c r="E7">
        <v>250</v>
      </c>
      <c r="F7">
        <v>250</v>
      </c>
      <c r="G7">
        <v>344</v>
      </c>
      <c r="H7">
        <v>3.971333</v>
      </c>
      <c r="I7">
        <v>3.5913333333332957</v>
      </c>
      <c r="J7">
        <f>H7/E7</f>
        <v>1.5885331999999999E-2</v>
      </c>
      <c r="K7">
        <f>I7/F7</f>
        <v>1.4365333333333183E-2</v>
      </c>
    </row>
    <row r="8" spans="1:17" x14ac:dyDescent="0.3">
      <c r="B8">
        <v>4</v>
      </c>
      <c r="C8" t="s">
        <v>14</v>
      </c>
      <c r="D8">
        <v>6</v>
      </c>
      <c r="E8">
        <v>5</v>
      </c>
      <c r="F8">
        <v>5</v>
      </c>
      <c r="G8">
        <v>8</v>
      </c>
      <c r="H8">
        <v>4.3333333333293922E-2</v>
      </c>
      <c r="I8">
        <v>3.8333333333355313E-2</v>
      </c>
      <c r="J8">
        <f>H8/E8</f>
        <v>8.6666666666587837E-3</v>
      </c>
      <c r="K8">
        <f>I8/F8</f>
        <v>7.6666666666710629E-3</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0604B0-121B-49EB-B6F1-DE4B908D4A5D}">
  <dimension ref="A1:U29"/>
  <sheetViews>
    <sheetView zoomScale="75" zoomScaleNormal="75" workbookViewId="0">
      <selection activeCell="H7" sqref="H7"/>
    </sheetView>
  </sheetViews>
  <sheetFormatPr defaultRowHeight="14.4" x14ac:dyDescent="0.3"/>
  <cols>
    <col min="1" max="1" width="16.109375" customWidth="1"/>
    <col min="2" max="2" width="15.5546875" customWidth="1"/>
    <col min="5" max="5" width="17.88671875" customWidth="1"/>
    <col min="6" max="6" width="17.6640625" customWidth="1"/>
    <col min="7" max="7" width="17.21875" customWidth="1"/>
    <col min="8" max="8" width="43.44140625" customWidth="1"/>
    <col min="9" max="9" width="33.5546875" customWidth="1"/>
    <col min="10" max="10" width="17.21875" customWidth="1"/>
    <col min="11" max="11" width="27.44140625" customWidth="1"/>
    <col min="12" max="12" width="15.5546875" customWidth="1"/>
    <col min="13" max="13" width="8.88671875" style="9"/>
    <col min="16" max="16" width="13.33203125" customWidth="1"/>
    <col min="17" max="17" width="12.77734375" customWidth="1"/>
    <col min="18" max="20" width="12.44140625" bestFit="1" customWidth="1"/>
  </cols>
  <sheetData>
    <row r="1" spans="1:21" x14ac:dyDescent="0.3">
      <c r="A1" s="1" t="s">
        <v>11</v>
      </c>
      <c r="E1" s="1" t="s">
        <v>27</v>
      </c>
      <c r="G1" s="1"/>
    </row>
    <row r="2" spans="1:21" ht="15" thickBot="1" x14ac:dyDescent="0.35">
      <c r="E2" t="s">
        <v>24</v>
      </c>
      <c r="F2">
        <v>1.1016000000002123E-2</v>
      </c>
    </row>
    <row r="3" spans="1:21" x14ac:dyDescent="0.3">
      <c r="A3" s="2" t="s">
        <v>9</v>
      </c>
      <c r="B3" s="3">
        <f>1/8.333</f>
        <v>0.12000480019200768</v>
      </c>
      <c r="E3" t="s">
        <v>25</v>
      </c>
      <c r="F3">
        <f>(0.175*0.001)/75</f>
        <v>2.3333333333333332E-6</v>
      </c>
    </row>
    <row r="4" spans="1:21" ht="15" thickBot="1" x14ac:dyDescent="0.35">
      <c r="A4" s="4" t="s">
        <v>10</v>
      </c>
      <c r="B4" s="5">
        <f>1/2.5</f>
        <v>0.4</v>
      </c>
    </row>
    <row r="5" spans="1:21" x14ac:dyDescent="0.3">
      <c r="A5" s="6"/>
      <c r="B5" s="6"/>
      <c r="K5" t="s">
        <v>17</v>
      </c>
      <c r="L5" t="s">
        <v>15</v>
      </c>
      <c r="N5" t="s">
        <v>17</v>
      </c>
      <c r="O5" t="s">
        <v>17</v>
      </c>
      <c r="P5" t="s">
        <v>17</v>
      </c>
      <c r="Q5" t="s">
        <v>17</v>
      </c>
    </row>
    <row r="6" spans="1:21" s="1" customFormat="1" x14ac:dyDescent="0.3">
      <c r="B6" s="1" t="s">
        <v>0</v>
      </c>
      <c r="C6" s="1" t="s">
        <v>7</v>
      </c>
      <c r="D6" s="1" t="s">
        <v>1</v>
      </c>
      <c r="E6" s="1" t="s">
        <v>51</v>
      </c>
      <c r="F6" s="1" t="s">
        <v>50</v>
      </c>
      <c r="G6" s="1" t="s">
        <v>53</v>
      </c>
      <c r="H6" s="1" t="s">
        <v>31</v>
      </c>
      <c r="I6" s="1" t="s">
        <v>21</v>
      </c>
      <c r="J6" s="1" t="s">
        <v>22</v>
      </c>
      <c r="K6" s="1" t="s">
        <v>23</v>
      </c>
      <c r="L6" s="1" t="s">
        <v>6</v>
      </c>
      <c r="M6" s="11"/>
      <c r="N6" s="1" t="s">
        <v>26</v>
      </c>
      <c r="O6" s="1" t="s">
        <v>28</v>
      </c>
      <c r="P6" s="1" t="s">
        <v>35</v>
      </c>
      <c r="Q6" s="1" t="s">
        <v>36</v>
      </c>
    </row>
    <row r="7" spans="1:21" x14ac:dyDescent="0.3">
      <c r="B7">
        <v>5</v>
      </c>
      <c r="C7" t="s">
        <v>14</v>
      </c>
      <c r="D7">
        <v>6</v>
      </c>
      <c r="E7">
        <v>250</v>
      </c>
      <c r="F7">
        <v>250</v>
      </c>
      <c r="G7">
        <v>344</v>
      </c>
      <c r="H7">
        <f>G7*2</f>
        <v>688</v>
      </c>
      <c r="I7">
        <f>H7 * ((2.48 -1)/(2.48 - 1.867))</f>
        <v>1661.0766721044047</v>
      </c>
      <c r="J7">
        <f>I7-H7</f>
        <v>973.07667210440468</v>
      </c>
      <c r="K7">
        <f>J7*$F$3/L7</f>
        <v>5.2680098257779063E-6</v>
      </c>
      <c r="L7">
        <v>431</v>
      </c>
      <c r="N7">
        <f>(H7*$F$2+J7*$F$3)/L7</f>
        <v>1.7589973346256081E-2</v>
      </c>
      <c r="O7">
        <f>N7*(1/8.333)</f>
        <v>2.1108812368002016E-3</v>
      </c>
      <c r="P7" s="10">
        <f>O7-(K7*$B$3)</f>
        <v>2.1102490503336498E-3</v>
      </c>
      <c r="Q7" s="10">
        <f>K7*$B$3</f>
        <v>6.3218646655201083E-7</v>
      </c>
    </row>
    <row r="8" spans="1:21" x14ac:dyDescent="0.3">
      <c r="B8">
        <v>4</v>
      </c>
      <c r="C8" t="s">
        <v>14</v>
      </c>
      <c r="D8">
        <v>6</v>
      </c>
      <c r="E8">
        <v>5</v>
      </c>
      <c r="F8">
        <v>5</v>
      </c>
      <c r="G8">
        <v>8</v>
      </c>
      <c r="H8">
        <f t="shared" ref="H8:H29" si="0">G8*2</f>
        <v>16</v>
      </c>
      <c r="I8">
        <f t="shared" ref="I8:I29" si="1">H8 * ((2.48 -1)/(2.48 - 1.867))</f>
        <v>38.629690048939644</v>
      </c>
      <c r="J8">
        <f t="shared" ref="J8:J29" si="2">I8-H8</f>
        <v>22.629690048939644</v>
      </c>
      <c r="K8">
        <f t="shared" ref="K8:K29" si="3">J8*$F$3/L8</f>
        <v>4.1252039151712889E-7</v>
      </c>
      <c r="L8">
        <v>128</v>
      </c>
      <c r="N8">
        <f t="shared" ref="N8:N29" si="4">(H8*$F$2+J8*$F$3)/L8</f>
        <v>1.3774125203917826E-3</v>
      </c>
      <c r="O8">
        <f t="shared" ref="O8:O29" si="5">N8*(1/8.333)</f>
        <v>1.6529611429158558E-4</v>
      </c>
      <c r="P8" s="10">
        <f t="shared" ref="P8:P29" si="6">O8-(K8*$B$3)</f>
        <v>1.6524660986442643E-4</v>
      </c>
      <c r="Q8" s="10">
        <f t="shared" ref="Q8:Q29" si="7">K8*$B$3</f>
        <v>4.9504427159141832E-8</v>
      </c>
    </row>
    <row r="9" spans="1:21" x14ac:dyDescent="0.3">
      <c r="B9">
        <v>3</v>
      </c>
      <c r="C9" t="s">
        <v>14</v>
      </c>
      <c r="D9">
        <v>6</v>
      </c>
      <c r="G9">
        <v>8</v>
      </c>
      <c r="H9">
        <f t="shared" si="0"/>
        <v>16</v>
      </c>
      <c r="I9">
        <f t="shared" si="1"/>
        <v>38.629690048939644</v>
      </c>
      <c r="J9">
        <f t="shared" si="2"/>
        <v>22.629690048939644</v>
      </c>
      <c r="K9">
        <f t="shared" si="3"/>
        <v>1.2110690393163417E-7</v>
      </c>
      <c r="L9">
        <v>436</v>
      </c>
      <c r="N9">
        <f t="shared" si="4"/>
        <v>4.0437798763795453E-4</v>
      </c>
      <c r="O9">
        <f t="shared" si="5"/>
        <v>4.8527299608538884E-5</v>
      </c>
      <c r="P9" s="10">
        <f t="shared" si="6"/>
        <v>4.8512766198730695E-5</v>
      </c>
      <c r="Q9" s="10">
        <f t="shared" si="7"/>
        <v>1.4533409808188428E-8</v>
      </c>
    </row>
    <row r="10" spans="1:21" x14ac:dyDescent="0.3">
      <c r="B10">
        <v>2</v>
      </c>
      <c r="C10" t="s">
        <v>14</v>
      </c>
      <c r="D10">
        <v>6</v>
      </c>
      <c r="G10">
        <v>7</v>
      </c>
      <c r="H10">
        <f t="shared" si="0"/>
        <v>14</v>
      </c>
      <c r="I10">
        <f t="shared" si="1"/>
        <v>33.800978792822185</v>
      </c>
      <c r="J10">
        <f t="shared" si="2"/>
        <v>19.800978792822185</v>
      </c>
      <c r="K10">
        <f t="shared" si="3"/>
        <v>9.4290375203915151E-8</v>
      </c>
      <c r="L10">
        <v>490</v>
      </c>
      <c r="N10">
        <f t="shared" si="4"/>
        <v>3.1483714751812168E-4</v>
      </c>
      <c r="O10">
        <f t="shared" si="5"/>
        <v>3.7781968980933838E-5</v>
      </c>
      <c r="P10" s="10">
        <f t="shared" si="6"/>
        <v>3.7770653683297459E-5</v>
      </c>
      <c r="Q10" s="10">
        <f t="shared" si="7"/>
        <v>1.1315297636375274E-8</v>
      </c>
    </row>
    <row r="11" spans="1:21" x14ac:dyDescent="0.3">
      <c r="B11">
        <v>1</v>
      </c>
      <c r="C11" t="s">
        <v>14</v>
      </c>
      <c r="D11">
        <v>6</v>
      </c>
      <c r="G11">
        <v>3</v>
      </c>
      <c r="H11">
        <f t="shared" si="0"/>
        <v>6</v>
      </c>
      <c r="I11">
        <f t="shared" si="1"/>
        <v>14.486133768352367</v>
      </c>
      <c r="J11">
        <f t="shared" si="2"/>
        <v>8.4861337683523672</v>
      </c>
      <c r="K11">
        <f t="shared" si="3"/>
        <v>9.3400843362368824E-8</v>
      </c>
      <c r="L11">
        <v>212</v>
      </c>
      <c r="N11">
        <f t="shared" si="4"/>
        <v>3.1186698574908284E-4</v>
      </c>
      <c r="O11">
        <f t="shared" si="5"/>
        <v>3.7425535311302394E-5</v>
      </c>
      <c r="P11" s="10">
        <f t="shared" si="6"/>
        <v>3.7414326761756926E-5</v>
      </c>
      <c r="Q11" s="10">
        <f t="shared" si="7"/>
        <v>1.1208549545466078E-8</v>
      </c>
    </row>
    <row r="12" spans="1:21" x14ac:dyDescent="0.3">
      <c r="H12">
        <f t="shared" si="0"/>
        <v>0</v>
      </c>
      <c r="I12">
        <f t="shared" si="1"/>
        <v>0</v>
      </c>
      <c r="J12">
        <f t="shared" si="2"/>
        <v>0</v>
      </c>
      <c r="O12">
        <f t="shared" si="5"/>
        <v>0</v>
      </c>
      <c r="P12" s="10">
        <f t="shared" si="6"/>
        <v>0</v>
      </c>
      <c r="Q12" s="10">
        <f t="shared" si="7"/>
        <v>0</v>
      </c>
    </row>
    <row r="13" spans="1:21" x14ac:dyDescent="0.3">
      <c r="B13">
        <v>5</v>
      </c>
      <c r="C13" t="s">
        <v>8</v>
      </c>
      <c r="D13">
        <v>6</v>
      </c>
      <c r="G13">
        <v>1</v>
      </c>
      <c r="H13">
        <f t="shared" si="0"/>
        <v>2</v>
      </c>
      <c r="I13">
        <f t="shared" si="1"/>
        <v>4.8287112561174554</v>
      </c>
      <c r="J13">
        <f t="shared" si="2"/>
        <v>2.8287112561174554</v>
      </c>
      <c r="K13">
        <f t="shared" si="3"/>
        <v>1.531398205167996E-8</v>
      </c>
      <c r="L13">
        <v>431</v>
      </c>
      <c r="N13">
        <f t="shared" si="4"/>
        <v>5.1133643448418841E-5</v>
      </c>
      <c r="O13">
        <f t="shared" si="5"/>
        <v>6.1362826651168661E-6</v>
      </c>
      <c r="P13" s="10">
        <f t="shared" si="6"/>
        <v>6.13444491376061E-6</v>
      </c>
      <c r="Q13" s="10">
        <f t="shared" si="7"/>
        <v>1.8377513562558454E-9</v>
      </c>
      <c r="U13" s="9"/>
    </row>
    <row r="14" spans="1:21" x14ac:dyDescent="0.3">
      <c r="B14">
        <v>4</v>
      </c>
      <c r="C14" t="s">
        <v>8</v>
      </c>
      <c r="D14">
        <v>6</v>
      </c>
      <c r="G14">
        <v>0</v>
      </c>
      <c r="H14">
        <f t="shared" si="0"/>
        <v>0</v>
      </c>
      <c r="I14">
        <f t="shared" si="1"/>
        <v>0</v>
      </c>
      <c r="J14">
        <f t="shared" si="2"/>
        <v>0</v>
      </c>
      <c r="K14">
        <f t="shared" si="3"/>
        <v>0</v>
      </c>
      <c r="L14">
        <v>128</v>
      </c>
      <c r="N14">
        <f t="shared" si="4"/>
        <v>0</v>
      </c>
      <c r="O14">
        <f t="shared" si="5"/>
        <v>0</v>
      </c>
      <c r="P14" s="10">
        <f t="shared" si="6"/>
        <v>0</v>
      </c>
      <c r="Q14" s="10">
        <f t="shared" si="7"/>
        <v>0</v>
      </c>
      <c r="U14" s="9"/>
    </row>
    <row r="15" spans="1:21" x14ac:dyDescent="0.3">
      <c r="B15">
        <v>3</v>
      </c>
      <c r="C15" t="s">
        <v>8</v>
      </c>
      <c r="D15">
        <v>6</v>
      </c>
      <c r="G15">
        <v>2</v>
      </c>
      <c r="H15">
        <f t="shared" si="0"/>
        <v>4</v>
      </c>
      <c r="I15">
        <f t="shared" si="1"/>
        <v>9.6574225122349109</v>
      </c>
      <c r="J15">
        <f t="shared" si="2"/>
        <v>5.6574225122349109</v>
      </c>
      <c r="K15">
        <f t="shared" si="3"/>
        <v>3.0276725982908542E-8</v>
      </c>
      <c r="L15">
        <v>436</v>
      </c>
      <c r="N15">
        <f t="shared" si="4"/>
        <v>1.0109449690948863E-4</v>
      </c>
      <c r="O15">
        <f t="shared" si="5"/>
        <v>1.2131824902134721E-5</v>
      </c>
      <c r="P15" s="10">
        <f t="shared" si="6"/>
        <v>1.2128191549682674E-5</v>
      </c>
      <c r="Q15" s="10">
        <f t="shared" si="7"/>
        <v>3.633352452047107E-9</v>
      </c>
      <c r="U15" s="9"/>
    </row>
    <row r="16" spans="1:21" x14ac:dyDescent="0.3">
      <c r="B16">
        <v>2</v>
      </c>
      <c r="C16" t="s">
        <v>8</v>
      </c>
      <c r="D16">
        <v>6</v>
      </c>
      <c r="G16">
        <v>2</v>
      </c>
      <c r="H16">
        <f t="shared" si="0"/>
        <v>4</v>
      </c>
      <c r="I16">
        <f t="shared" si="1"/>
        <v>9.6574225122349109</v>
      </c>
      <c r="J16">
        <f t="shared" si="2"/>
        <v>5.6574225122349109</v>
      </c>
      <c r="K16">
        <f t="shared" si="3"/>
        <v>2.6940107201118622E-8</v>
      </c>
      <c r="L16">
        <v>490</v>
      </c>
      <c r="N16">
        <f t="shared" si="4"/>
        <v>8.9953470719463351E-5</v>
      </c>
      <c r="O16">
        <f t="shared" si="5"/>
        <v>1.0794848280266812E-5</v>
      </c>
      <c r="P16" s="10">
        <f t="shared" si="6"/>
        <v>1.0791615338084991E-5</v>
      </c>
      <c r="Q16" s="10">
        <f t="shared" si="7"/>
        <v>3.2329421818215075E-9</v>
      </c>
      <c r="U16" s="9"/>
    </row>
    <row r="17" spans="2:21" x14ac:dyDescent="0.3">
      <c r="B17">
        <v>1</v>
      </c>
      <c r="C17" t="s">
        <v>8</v>
      </c>
      <c r="D17">
        <v>6</v>
      </c>
      <c r="G17">
        <v>4</v>
      </c>
      <c r="H17">
        <f t="shared" si="0"/>
        <v>8</v>
      </c>
      <c r="I17">
        <f t="shared" si="1"/>
        <v>19.314845024469822</v>
      </c>
      <c r="J17">
        <f t="shared" si="2"/>
        <v>11.314845024469822</v>
      </c>
      <c r="K17">
        <f t="shared" si="3"/>
        <v>1.2453445781649173E-7</v>
      </c>
      <c r="L17">
        <v>212</v>
      </c>
      <c r="N17">
        <f t="shared" si="4"/>
        <v>4.1582264766544378E-4</v>
      </c>
      <c r="O17">
        <f t="shared" si="5"/>
        <v>4.9900713748403188E-5</v>
      </c>
      <c r="P17" s="10">
        <f t="shared" si="6"/>
        <v>4.9885769015675901E-5</v>
      </c>
      <c r="Q17" s="10">
        <f t="shared" si="7"/>
        <v>1.4944732727288098E-8</v>
      </c>
      <c r="U17" s="9"/>
    </row>
    <row r="18" spans="2:21" x14ac:dyDescent="0.3">
      <c r="H18">
        <f t="shared" si="0"/>
        <v>0</v>
      </c>
      <c r="I18">
        <f t="shared" si="1"/>
        <v>0</v>
      </c>
      <c r="J18">
        <f t="shared" si="2"/>
        <v>0</v>
      </c>
      <c r="O18">
        <f t="shared" si="5"/>
        <v>0</v>
      </c>
      <c r="P18" s="10">
        <f t="shared" si="6"/>
        <v>0</v>
      </c>
      <c r="Q18" s="10">
        <f t="shared" si="7"/>
        <v>0</v>
      </c>
      <c r="U18" s="9"/>
    </row>
    <row r="19" spans="2:21" x14ac:dyDescent="0.3">
      <c r="B19">
        <v>5</v>
      </c>
      <c r="C19" t="s">
        <v>14</v>
      </c>
      <c r="D19">
        <v>9</v>
      </c>
      <c r="G19">
        <v>234</v>
      </c>
      <c r="H19">
        <f t="shared" si="0"/>
        <v>468</v>
      </c>
      <c r="I19">
        <f t="shared" si="1"/>
        <v>1129.9184339314845</v>
      </c>
      <c r="J19">
        <f t="shared" si="2"/>
        <v>661.91843393148451</v>
      </c>
      <c r="K19">
        <f t="shared" si="3"/>
        <v>3.0283849918433928E-6</v>
      </c>
      <c r="L19">
        <v>510</v>
      </c>
      <c r="N19">
        <f t="shared" si="4"/>
        <v>1.0111828384993792E-2</v>
      </c>
      <c r="O19">
        <f t="shared" si="5"/>
        <v>1.2134679449170517E-3</v>
      </c>
      <c r="P19" s="10">
        <f t="shared" si="6"/>
        <v>1.2131045241812011E-3</v>
      </c>
      <c r="Q19" s="10">
        <f t="shared" si="7"/>
        <v>3.6342073585064118E-7</v>
      </c>
    </row>
    <row r="20" spans="2:21" x14ac:dyDescent="0.3">
      <c r="B20">
        <v>4</v>
      </c>
      <c r="C20" t="s">
        <v>14</v>
      </c>
      <c r="D20">
        <v>9</v>
      </c>
      <c r="G20">
        <v>28</v>
      </c>
      <c r="H20">
        <f t="shared" si="0"/>
        <v>56</v>
      </c>
      <c r="I20">
        <f t="shared" si="1"/>
        <v>135.20391517128874</v>
      </c>
      <c r="J20">
        <f t="shared" si="2"/>
        <v>79.203915171288742</v>
      </c>
      <c r="K20">
        <f t="shared" si="3"/>
        <v>8.8425423636207509E-7</v>
      </c>
      <c r="L20">
        <v>209</v>
      </c>
      <c r="N20">
        <f t="shared" si="4"/>
        <v>2.9525397566292754E-3</v>
      </c>
      <c r="O20">
        <f t="shared" si="5"/>
        <v>3.5431894355325517E-4</v>
      </c>
      <c r="P20" s="10">
        <f t="shared" si="6"/>
        <v>3.5421282880030163E-4</v>
      </c>
      <c r="Q20" s="10">
        <f t="shared" si="7"/>
        <v>1.0611475295356716E-7</v>
      </c>
    </row>
    <row r="21" spans="2:21" x14ac:dyDescent="0.3">
      <c r="B21">
        <v>3</v>
      </c>
      <c r="C21" t="s">
        <v>14</v>
      </c>
      <c r="D21">
        <v>9</v>
      </c>
      <c r="G21">
        <v>4</v>
      </c>
      <c r="H21">
        <f t="shared" si="0"/>
        <v>8</v>
      </c>
      <c r="I21">
        <f t="shared" si="1"/>
        <v>19.314845024469822</v>
      </c>
      <c r="J21">
        <f t="shared" si="2"/>
        <v>11.314845024469822</v>
      </c>
      <c r="K21">
        <f t="shared" si="3"/>
        <v>5.6655161066730151E-8</v>
      </c>
      <c r="L21">
        <v>466</v>
      </c>
      <c r="N21">
        <f t="shared" si="4"/>
        <v>1.8917253498942937E-4</v>
      </c>
      <c r="O21">
        <f t="shared" si="5"/>
        <v>2.2701612263222054E-5</v>
      </c>
      <c r="P21" s="10">
        <f t="shared" si="6"/>
        <v>2.2694813371938395E-5</v>
      </c>
      <c r="Q21" s="10">
        <f t="shared" si="7"/>
        <v>6.7988912836589646E-9</v>
      </c>
    </row>
    <row r="22" spans="2:21" x14ac:dyDescent="0.3">
      <c r="B22">
        <v>2</v>
      </c>
      <c r="C22" t="s">
        <v>14</v>
      </c>
      <c r="D22">
        <v>9</v>
      </c>
      <c r="G22">
        <v>2</v>
      </c>
      <c r="H22">
        <f t="shared" si="0"/>
        <v>4</v>
      </c>
      <c r="I22">
        <f t="shared" si="1"/>
        <v>9.6574225122349109</v>
      </c>
      <c r="J22">
        <f t="shared" si="2"/>
        <v>5.6574225122349109</v>
      </c>
      <c r="K22">
        <f t="shared" si="3"/>
        <v>1.4458546033459064E-8</v>
      </c>
      <c r="L22">
        <v>913</v>
      </c>
      <c r="N22">
        <f t="shared" si="4"/>
        <v>4.8277328206502786E-5</v>
      </c>
      <c r="O22">
        <f t="shared" si="5"/>
        <v>5.7935111252253431E-6</v>
      </c>
      <c r="P22" s="10">
        <f t="shared" si="6"/>
        <v>5.7917760302975312E-6</v>
      </c>
      <c r="Q22" s="10">
        <f t="shared" si="7"/>
        <v>1.7350949278122002E-9</v>
      </c>
    </row>
    <row r="23" spans="2:21" x14ac:dyDescent="0.3">
      <c r="B23">
        <v>1</v>
      </c>
      <c r="C23" t="s">
        <v>14</v>
      </c>
      <c r="D23">
        <v>9</v>
      </c>
      <c r="G23">
        <v>2</v>
      </c>
      <c r="H23">
        <f t="shared" si="0"/>
        <v>4</v>
      </c>
      <c r="I23">
        <f t="shared" si="1"/>
        <v>9.6574225122349109</v>
      </c>
      <c r="J23">
        <f t="shared" si="2"/>
        <v>5.6574225122349109</v>
      </c>
      <c r="K23">
        <f t="shared" si="3"/>
        <v>3.5969080459259194E-8</v>
      </c>
      <c r="L23">
        <v>367</v>
      </c>
      <c r="N23">
        <f t="shared" si="4"/>
        <v>1.2010136417585025E-4</v>
      </c>
      <c r="O23">
        <f t="shared" si="5"/>
        <v>1.4412740210710458E-5</v>
      </c>
      <c r="P23" s="10">
        <f t="shared" si="6"/>
        <v>1.4408423748396855E-5</v>
      </c>
      <c r="Q23" s="10">
        <f t="shared" si="7"/>
        <v>4.3164623136036474E-9</v>
      </c>
    </row>
    <row r="24" spans="2:21" x14ac:dyDescent="0.3">
      <c r="H24">
        <f t="shared" si="0"/>
        <v>0</v>
      </c>
      <c r="I24">
        <f t="shared" si="1"/>
        <v>0</v>
      </c>
      <c r="J24">
        <f t="shared" si="2"/>
        <v>0</v>
      </c>
      <c r="O24">
        <f t="shared" si="5"/>
        <v>0</v>
      </c>
      <c r="P24" s="10">
        <f t="shared" si="6"/>
        <v>0</v>
      </c>
      <c r="Q24" s="10">
        <f t="shared" si="7"/>
        <v>0</v>
      </c>
    </row>
    <row r="25" spans="2:21" x14ac:dyDescent="0.3">
      <c r="B25">
        <v>5</v>
      </c>
      <c r="C25" t="s">
        <v>8</v>
      </c>
      <c r="D25">
        <v>9</v>
      </c>
      <c r="G25">
        <v>1</v>
      </c>
      <c r="H25">
        <f t="shared" si="0"/>
        <v>2</v>
      </c>
      <c r="I25">
        <f t="shared" si="1"/>
        <v>4.8287112561174554</v>
      </c>
      <c r="J25">
        <f t="shared" si="2"/>
        <v>2.8287112561174554</v>
      </c>
      <c r="K25">
        <f t="shared" si="3"/>
        <v>1.2941816204458946E-8</v>
      </c>
      <c r="L25">
        <v>510</v>
      </c>
      <c r="N25">
        <f t="shared" si="4"/>
        <v>4.3212941816212786E-5</v>
      </c>
      <c r="O25">
        <f t="shared" si="5"/>
        <v>5.1857604483634687E-6</v>
      </c>
      <c r="P25" s="10">
        <f t="shared" si="6"/>
        <v>5.1842073682957313E-6</v>
      </c>
      <c r="Q25" s="10">
        <f t="shared" si="7"/>
        <v>1.5530800677377829E-9</v>
      </c>
    </row>
    <row r="26" spans="2:21" x14ac:dyDescent="0.3">
      <c r="B26">
        <v>4</v>
      </c>
      <c r="C26" t="s">
        <v>8</v>
      </c>
      <c r="D26">
        <v>9</v>
      </c>
      <c r="G26">
        <v>3</v>
      </c>
      <c r="H26">
        <f t="shared" si="0"/>
        <v>6</v>
      </c>
      <c r="I26">
        <f t="shared" si="1"/>
        <v>14.486133768352367</v>
      </c>
      <c r="J26">
        <f t="shared" si="2"/>
        <v>8.4861337683523672</v>
      </c>
      <c r="K26">
        <f t="shared" si="3"/>
        <v>9.4741525324508089E-8</v>
      </c>
      <c r="L26">
        <v>209</v>
      </c>
      <c r="N26">
        <f t="shared" si="4"/>
        <v>3.1634354535313669E-4</v>
      </c>
      <c r="O26">
        <f t="shared" si="5"/>
        <v>3.7962743952134489E-5</v>
      </c>
      <c r="P26" s="10">
        <f t="shared" si="6"/>
        <v>3.7951374514318032E-5</v>
      </c>
      <c r="Q26" s="10">
        <f t="shared" si="7"/>
        <v>1.136943781645363E-8</v>
      </c>
    </row>
    <row r="27" spans="2:21" x14ac:dyDescent="0.3">
      <c r="B27">
        <v>3</v>
      </c>
      <c r="C27" t="s">
        <v>8</v>
      </c>
      <c r="D27">
        <v>9</v>
      </c>
      <c r="G27">
        <v>1</v>
      </c>
      <c r="H27">
        <f t="shared" si="0"/>
        <v>2</v>
      </c>
      <c r="I27">
        <f t="shared" si="1"/>
        <v>4.8287112561174554</v>
      </c>
      <c r="J27">
        <f t="shared" si="2"/>
        <v>2.8287112561174554</v>
      </c>
      <c r="K27">
        <f t="shared" si="3"/>
        <v>1.4163790266682538E-8</v>
      </c>
      <c r="L27">
        <v>466</v>
      </c>
      <c r="N27">
        <f t="shared" si="4"/>
        <v>4.7293133747357342E-5</v>
      </c>
      <c r="O27">
        <f t="shared" si="5"/>
        <v>5.6754030658055134E-6</v>
      </c>
      <c r="P27" s="10">
        <f t="shared" si="6"/>
        <v>5.6737033429845988E-6</v>
      </c>
      <c r="Q27" s="10">
        <f t="shared" si="7"/>
        <v>1.6997228209147411E-9</v>
      </c>
    </row>
    <row r="28" spans="2:21" x14ac:dyDescent="0.3">
      <c r="B28">
        <v>2</v>
      </c>
      <c r="C28" t="s">
        <v>8</v>
      </c>
      <c r="D28">
        <v>9</v>
      </c>
      <c r="G28">
        <v>4</v>
      </c>
      <c r="H28">
        <f t="shared" si="0"/>
        <v>8</v>
      </c>
      <c r="I28">
        <f t="shared" si="1"/>
        <v>19.314845024469822</v>
      </c>
      <c r="J28">
        <f t="shared" si="2"/>
        <v>11.314845024469822</v>
      </c>
      <c r="K28">
        <f t="shared" si="3"/>
        <v>2.8917092066918127E-8</v>
      </c>
      <c r="L28">
        <v>913</v>
      </c>
      <c r="N28">
        <f t="shared" si="4"/>
        <v>9.6554656413005573E-5</v>
      </c>
      <c r="O28">
        <f t="shared" si="5"/>
        <v>1.1587022250450686E-5</v>
      </c>
      <c r="P28" s="10">
        <f t="shared" si="6"/>
        <v>1.1583552060595062E-5</v>
      </c>
      <c r="Q28" s="10">
        <f t="shared" si="7"/>
        <v>3.4701898556244005E-9</v>
      </c>
    </row>
    <row r="29" spans="2:21" x14ac:dyDescent="0.3">
      <c r="B29">
        <v>1</v>
      </c>
      <c r="C29" t="s">
        <v>8</v>
      </c>
      <c r="D29">
        <v>9</v>
      </c>
      <c r="G29">
        <v>1</v>
      </c>
      <c r="H29">
        <f t="shared" si="0"/>
        <v>2</v>
      </c>
      <c r="I29">
        <f t="shared" si="1"/>
        <v>4.8287112561174554</v>
      </c>
      <c r="J29">
        <f t="shared" si="2"/>
        <v>2.8287112561174554</v>
      </c>
      <c r="K29">
        <f t="shared" si="3"/>
        <v>1.7984540229629597E-8</v>
      </c>
      <c r="L29">
        <v>367</v>
      </c>
      <c r="N29">
        <f t="shared" si="4"/>
        <v>6.0050682087925125E-5</v>
      </c>
      <c r="O29">
        <f t="shared" si="5"/>
        <v>7.2063701053552291E-6</v>
      </c>
      <c r="P29" s="10">
        <f t="shared" si="6"/>
        <v>7.2042118741984277E-6</v>
      </c>
      <c r="Q29" s="10">
        <f t="shared" si="7"/>
        <v>2.1582311568018237E-9</v>
      </c>
    </row>
  </sheetData>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info</vt:lpstr>
      <vt:lpstr>weight data</vt:lpstr>
      <vt:lpstr>corrected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Kruijt, A.L. (Anne)</dc:creator>
  <cp:lastModifiedBy>Kruijt, A.L. (Anne)</cp:lastModifiedBy>
  <dcterms:created xsi:type="dcterms:W3CDTF">2024-02-01T12:47:30Z</dcterms:created>
  <dcterms:modified xsi:type="dcterms:W3CDTF">2025-07-17T12:27:44Z</dcterms:modified>
</cp:coreProperties>
</file>