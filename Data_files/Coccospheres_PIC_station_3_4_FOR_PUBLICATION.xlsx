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for paper/Data_files/"/>
    </mc:Choice>
  </mc:AlternateContent>
  <xr:revisionPtr revIDLastSave="52" documentId="8_{9AC35561-FB15-4FAD-82C4-F21FE9738961}" xr6:coauthVersionLast="47" xr6:coauthVersionMax="47" xr10:uidLastSave="{BF31591E-AC9C-4461-AC6C-E06A3674F47E}"/>
  <bookViews>
    <workbookView xWindow="-108" yWindow="-108" windowWidth="23256" windowHeight="12576" xr2:uid="{00000000-000D-0000-FFFF-FFFF00000000}"/>
  </bookViews>
  <sheets>
    <sheet name="data" sheetId="2" r:id="rId1"/>
    <sheet name="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L3" i="2" l="1"/>
  <c r="L5" i="2"/>
  <c r="L6" i="2"/>
  <c r="L7" i="2"/>
  <c r="L8" i="2"/>
  <c r="L9" i="2"/>
  <c r="L10" i="2"/>
  <c r="L11" i="2"/>
  <c r="L12" i="2"/>
  <c r="L2" i="2"/>
  <c r="AC2" i="2"/>
  <c r="AA2" i="2"/>
  <c r="U2" i="2"/>
  <c r="T2" i="2"/>
  <c r="S12" i="2"/>
  <c r="S11" i="2"/>
  <c r="S10" i="2"/>
  <c r="S9" i="2"/>
  <c r="N9" i="2"/>
  <c r="S8" i="2"/>
  <c r="N8" i="2"/>
  <c r="S7" i="2"/>
  <c r="N7" i="2"/>
  <c r="S6" i="2"/>
  <c r="N6" i="2"/>
  <c r="S5" i="2"/>
  <c r="N5" i="2"/>
  <c r="S4" i="2"/>
  <c r="S3" i="2"/>
  <c r="N3" i="2"/>
  <c r="S2" i="2"/>
  <c r="N2" i="2"/>
  <c r="J6" i="2" l="1"/>
  <c r="K6" i="2" s="1"/>
  <c r="M6" i="2" s="1"/>
  <c r="J7" i="2" l="1"/>
  <c r="K7" i="2" s="1"/>
  <c r="M7" i="2" s="1"/>
  <c r="J5" i="2"/>
  <c r="K5" i="2" s="1"/>
  <c r="M5" i="2" s="1"/>
  <c r="J10" i="2"/>
  <c r="K10" i="2" s="1"/>
  <c r="M10" i="2" s="1"/>
  <c r="J3" i="2"/>
  <c r="K3" i="2" s="1"/>
  <c r="M3" i="2" s="1"/>
  <c r="J8" i="2"/>
  <c r="K8" i="2" s="1"/>
  <c r="M8" i="2" s="1"/>
  <c r="J2" i="2"/>
  <c r="K2" i="2" s="1"/>
  <c r="M2" i="2" s="1"/>
  <c r="J12" i="2"/>
  <c r="K12" i="2" s="1"/>
  <c r="M12" i="2" s="1"/>
  <c r="J11" i="2"/>
  <c r="K11" i="2" s="1"/>
  <c r="M11" i="2" s="1"/>
  <c r="J9" i="2"/>
  <c r="K9" i="2" s="1"/>
  <c r="M9" i="2" s="1"/>
</calcChain>
</file>

<file path=xl/sharedStrings.xml><?xml version="1.0" encoding="utf-8"?>
<sst xmlns="http://schemas.openxmlformats.org/spreadsheetml/2006/main" count="52" uniqueCount="45">
  <si>
    <t>Label</t>
  </si>
  <si>
    <t>Sample</t>
  </si>
  <si>
    <t>Station</t>
  </si>
  <si>
    <t xml:space="preserve"> depth</t>
  </si>
  <si>
    <t>volume filtered (L)</t>
  </si>
  <si>
    <t>Coccosphere</t>
  </si>
  <si>
    <t>CaCO3 sphere (mg/l)</t>
  </si>
  <si>
    <t>Thickness (µm)</t>
  </si>
  <si>
    <t>Surface</t>
  </si>
  <si>
    <t>Feret Max</t>
  </si>
  <si>
    <t>Feret Min</t>
  </si>
  <si>
    <t>d(microAutomate) en (mg/cm2)</t>
  </si>
  <si>
    <t>nbr FOV</t>
  </si>
  <si>
    <t>Dmax (vert)</t>
  </si>
  <si>
    <t>Lux max</t>
  </si>
  <si>
    <t>S3X5</t>
  </si>
  <si>
    <t>S3X100</t>
  </si>
  <si>
    <t>S3X175</t>
  </si>
  <si>
    <t>S3X250</t>
  </si>
  <si>
    <t>Yes</t>
  </si>
  <si>
    <t>S3X400</t>
  </si>
  <si>
    <t>S3X650</t>
  </si>
  <si>
    <t>S4X1000</t>
  </si>
  <si>
    <t>S4X2000</t>
  </si>
  <si>
    <t>S4X3000</t>
  </si>
  <si>
    <t>S4X4000</t>
  </si>
  <si>
    <t>S4X4905</t>
  </si>
  <si>
    <t>PIC total (mg)</t>
  </si>
  <si>
    <t>PIC sphere conc (mg/m3)</t>
  </si>
  <si>
    <t>incorrect measurement</t>
  </si>
  <si>
    <t>Correction</t>
  </si>
  <si>
    <t>Deep assemblage?</t>
  </si>
  <si>
    <t>PIC sphere concentration (mg/l)</t>
  </si>
  <si>
    <t>Measured value</t>
  </si>
  <si>
    <t xml:space="preserve">Data sheet contains coccosphere measurements and PIC concentrations at station 3 and 4 of BeyΩnd expedition. </t>
  </si>
  <si>
    <t>Samples were analyed by L. Beaufort at research institute Cerege, Aix-en-Provence</t>
  </si>
  <si>
    <r>
      <t>Samples were collected at sea during the Bey</t>
    </r>
    <r>
      <rPr>
        <sz val="10"/>
        <color indexed="8"/>
        <rFont val="Calibri"/>
        <family val="2"/>
      </rPr>
      <t>Ω</t>
    </r>
    <r>
      <rPr>
        <sz val="10"/>
        <color indexed="8"/>
        <rFont val="Helvetica Neue"/>
      </rPr>
      <t>nd expedition</t>
    </r>
    <r>
      <rPr>
        <sz val="10"/>
        <color indexed="8"/>
        <rFont val="Helvetica Neue"/>
      </rPr>
      <t xml:space="preserve"> by A. L. Kruijt</t>
    </r>
  </si>
  <si>
    <t>Surface FOV</t>
  </si>
  <si>
    <t>surface filter</t>
  </si>
  <si>
    <t>surface filter / surface FOV</t>
  </si>
  <si>
    <t>Density CaCO3</t>
  </si>
  <si>
    <t>conversion pg to mg</t>
  </si>
  <si>
    <t>side of pixel</t>
  </si>
  <si>
    <t>Surface of pixel</t>
  </si>
  <si>
    <t>(D x s_filtre)/ volume 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</si>
</sst>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0000000"/>
    <numFmt numFmtId="166" formatCode="0.000"/>
    <numFmt numFmtId="167" formatCode="0.0000"/>
    <numFmt numFmtId="168" formatCode="0.00000"/>
    <numFmt numFmtId="169" formatCode="0.00000000000"/>
  </numFmts>
  <fonts count="8">
    <font>
      <sz val="10"/>
      <color indexed="8"/>
      <name val="Helvetica Neue"/>
    </font>
    <font>
      <b/>
      <sz val="10"/>
      <color indexed="8"/>
      <name val="Helvetica Neue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Helvetica Neue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left" vertical="center" wrapText="1" readingOrder="1"/>
    </xf>
    <xf numFmtId="49" fontId="3" fillId="2" borderId="1" xfId="0" applyNumberFormat="1" applyFont="1" applyFill="1" applyBorder="1" applyAlignment="1">
      <alignment horizontal="left" vertical="center" wrapText="1" readingOrder="1"/>
    </xf>
    <xf numFmtId="0" fontId="0" fillId="0" borderId="2" xfId="0" applyNumberFormat="1" applyFont="1" applyBorder="1" applyAlignment="1">
      <alignment vertical="top"/>
    </xf>
    <xf numFmtId="0" fontId="5" fillId="0" borderId="2" xfId="0" applyNumberFormat="1" applyFont="1" applyBorder="1" applyAlignment="1">
      <alignment vertical="center" wrapText="1" readingOrder="1"/>
    </xf>
    <xf numFmtId="49" fontId="1" fillId="3" borderId="3" xfId="0" applyNumberFormat="1" applyFont="1" applyFill="1" applyBorder="1" applyAlignment="1">
      <alignment vertical="top"/>
    </xf>
    <xf numFmtId="2" fontId="0" fillId="0" borderId="4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0" fontId="4" fillId="0" borderId="5" xfId="0" applyNumberFormat="1" applyFont="1" applyBorder="1" applyAlignment="1">
      <alignment vertical="center" wrapText="1" readingOrder="1"/>
    </xf>
    <xf numFmtId="0" fontId="0" fillId="0" borderId="5" xfId="0" applyFont="1" applyBorder="1" applyAlignment="1">
      <alignment vertical="top"/>
    </xf>
    <xf numFmtId="164" fontId="0" fillId="0" borderId="5" xfId="0" applyNumberFormat="1" applyFont="1" applyBorder="1" applyAlignment="1">
      <alignment vertical="top"/>
    </xf>
    <xf numFmtId="165" fontId="0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center" wrapText="1" readingOrder="1"/>
    </xf>
    <xf numFmtId="166" fontId="0" fillId="0" borderId="4" xfId="0" applyNumberFormat="1" applyFont="1" applyBorder="1" applyAlignment="1">
      <alignment vertical="top"/>
    </xf>
    <xf numFmtId="164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0" fontId="4" fillId="0" borderId="5" xfId="0" applyNumberFormat="1" applyFont="1" applyBorder="1" applyAlignment="1">
      <alignment horizontal="left" vertical="center" wrapText="1" readingOrder="1"/>
    </xf>
    <xf numFmtId="167" fontId="0" fillId="0" borderId="4" xfId="0" applyNumberFormat="1" applyFont="1" applyBorder="1" applyAlignment="1">
      <alignment vertical="top"/>
    </xf>
    <xf numFmtId="2" fontId="0" fillId="0" borderId="5" xfId="0" applyNumberFormat="1" applyFont="1" applyBorder="1" applyAlignment="1">
      <alignment vertical="top"/>
    </xf>
    <xf numFmtId="167" fontId="0" fillId="0" borderId="5" xfId="0" applyNumberFormat="1" applyFont="1" applyBorder="1" applyAlignment="1">
      <alignment vertical="top"/>
    </xf>
    <xf numFmtId="166" fontId="0" fillId="0" borderId="5" xfId="0" applyNumberFormat="1" applyFont="1" applyBorder="1" applyAlignment="1">
      <alignment vertical="top"/>
    </xf>
    <xf numFmtId="168" fontId="0" fillId="0" borderId="5" xfId="0" applyNumberFormat="1" applyFont="1" applyBorder="1" applyAlignment="1">
      <alignment vertical="top"/>
    </xf>
    <xf numFmtId="169" fontId="0" fillId="0" borderId="5" xfId="0" applyNumberFormat="1" applyFont="1" applyBorder="1" applyAlignment="1">
      <alignment vertical="top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24EA-180D-4E2C-9ACA-4B4F4E066DC2}">
  <dimension ref="A1:AC72"/>
  <sheetViews>
    <sheetView tabSelected="1" topLeftCell="K1" workbookViewId="0">
      <selection activeCell="W7" sqref="W7"/>
    </sheetView>
  </sheetViews>
  <sheetFormatPr defaultRowHeight="13.2"/>
  <cols>
    <col min="9" max="9" width="20.44140625" customWidth="1"/>
    <col min="10" max="10" width="17.21875" customWidth="1"/>
    <col min="11" max="12" width="16.77734375" customWidth="1"/>
    <col min="13" max="13" width="16.44140625" customWidth="1"/>
    <col min="15" max="15" width="22.109375" customWidth="1"/>
  </cols>
  <sheetData>
    <row r="1" spans="1:29" s="1" customFormat="1" ht="37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30</v>
      </c>
      <c r="H1" s="2" t="s">
        <v>31</v>
      </c>
      <c r="I1" s="2" t="s">
        <v>33</v>
      </c>
      <c r="J1" s="2" t="s">
        <v>6</v>
      </c>
      <c r="K1" s="2" t="s">
        <v>32</v>
      </c>
      <c r="L1" s="2" t="s">
        <v>28</v>
      </c>
      <c r="M1" s="2" t="s">
        <v>27</v>
      </c>
      <c r="N1" s="2" t="s">
        <v>7</v>
      </c>
      <c r="O1" s="2" t="s">
        <v>8</v>
      </c>
      <c r="P1" s="2" t="s">
        <v>9</v>
      </c>
      <c r="Q1" s="2" t="s">
        <v>10</v>
      </c>
      <c r="R1" s="3" t="s">
        <v>11</v>
      </c>
      <c r="S1" s="3" t="s">
        <v>44</v>
      </c>
      <c r="T1" s="4" t="s">
        <v>37</v>
      </c>
      <c r="U1" s="4" t="s">
        <v>38</v>
      </c>
      <c r="V1" s="4" t="s">
        <v>39</v>
      </c>
      <c r="W1" s="4" t="s">
        <v>12</v>
      </c>
      <c r="X1" s="4" t="s">
        <v>13</v>
      </c>
      <c r="Y1" s="4" t="s">
        <v>40</v>
      </c>
      <c r="Z1" s="4" t="s">
        <v>14</v>
      </c>
      <c r="AA1" s="4" t="s">
        <v>41</v>
      </c>
      <c r="AB1" s="4" t="s">
        <v>42</v>
      </c>
      <c r="AC1" s="4" t="s">
        <v>43</v>
      </c>
    </row>
    <row r="2" spans="1:29" s="1" customFormat="1" ht="20.100000000000001" customHeight="1">
      <c r="A2" s="7" t="s">
        <v>15</v>
      </c>
      <c r="B2" s="16">
        <v>3.5</v>
      </c>
      <c r="C2" s="9">
        <v>3</v>
      </c>
      <c r="D2" s="9">
        <v>5</v>
      </c>
      <c r="E2" s="10">
        <v>8</v>
      </c>
      <c r="F2" s="9">
        <v>75</v>
      </c>
      <c r="G2" s="9">
        <v>74</v>
      </c>
      <c r="H2" s="11"/>
      <c r="I2" s="12">
        <v>20543926</v>
      </c>
      <c r="J2" s="9">
        <f t="shared" ref="J2:J12" si="0">I2*X$2*Y$2*V$2/Z$2/W$2/AA$2/E2*AC$2</f>
        <v>1.5581701839392502E-4</v>
      </c>
      <c r="K2" s="5">
        <f t="shared" ref="K2:K12" si="1">J2*(1/8.33333333333)</f>
        <v>1.8698042207278481E-5</v>
      </c>
      <c r="L2" s="5">
        <f>K2*1000</f>
        <v>1.8698042207278481E-2</v>
      </c>
      <c r="M2" s="5">
        <f t="shared" ref="M2:M12" si="2">K2*E2</f>
        <v>1.4958433765822784E-4</v>
      </c>
      <c r="N2" s="9">
        <f t="shared" ref="N2:N3" si="3">I2*X$2*Y$2/Z$2/O2/F2</f>
        <v>1.1153358267627351</v>
      </c>
      <c r="O2" s="13">
        <v>4211.7333333333299</v>
      </c>
      <c r="P2" s="9">
        <v>93.368293151855497</v>
      </c>
      <c r="Q2" s="9">
        <v>67.736617151896198</v>
      </c>
      <c r="R2" s="10">
        <v>7.8767100000000003E-3</v>
      </c>
      <c r="S2" s="10">
        <f t="shared" ref="S2:S12" si="4">R2*PI()*2.15^2/E2</f>
        <v>1.4298209683148586E-2</v>
      </c>
      <c r="T2" s="6">
        <f>0.125^2</f>
        <v>1.5625E-2</v>
      </c>
      <c r="U2" s="6">
        <f>21.5^2*PI()</f>
        <v>1452.2012041218818</v>
      </c>
      <c r="V2" s="6">
        <f>U2/T2</f>
        <v>92940.877063800435</v>
      </c>
      <c r="W2" s="6">
        <v>100</v>
      </c>
      <c r="X2" s="6">
        <v>1.62</v>
      </c>
      <c r="Y2" s="6">
        <v>2.71</v>
      </c>
      <c r="Z2" s="6">
        <v>256</v>
      </c>
      <c r="AA2" s="6">
        <f>10^9</f>
        <v>1000000000</v>
      </c>
      <c r="AB2" s="6">
        <v>6.1699999999999998E-2</v>
      </c>
      <c r="AC2" s="6">
        <f>AB2^2</f>
        <v>3.8068899999999998E-3</v>
      </c>
    </row>
    <row r="3" spans="1:29" s="1" customFormat="1" ht="20.100000000000001" customHeight="1">
      <c r="A3" s="7" t="s">
        <v>16</v>
      </c>
      <c r="B3" s="15">
        <v>3.1</v>
      </c>
      <c r="C3" s="9">
        <v>3</v>
      </c>
      <c r="D3" s="9">
        <v>100</v>
      </c>
      <c r="E3" s="10">
        <v>8</v>
      </c>
      <c r="F3" s="9">
        <v>126</v>
      </c>
      <c r="G3" s="9">
        <v>114</v>
      </c>
      <c r="H3" s="11"/>
      <c r="I3" s="12">
        <v>68541419</v>
      </c>
      <c r="J3" s="9">
        <f t="shared" si="0"/>
        <v>5.1985776939951608E-4</v>
      </c>
      <c r="K3" s="5">
        <f t="shared" si="1"/>
        <v>6.2382932327966877E-5</v>
      </c>
      <c r="L3" s="5">
        <f t="shared" ref="L3:L12" si="5">K3*1000</f>
        <v>6.2382932327966878E-2</v>
      </c>
      <c r="M3" s="5">
        <f t="shared" si="2"/>
        <v>4.9906345862373502E-4</v>
      </c>
      <c r="N3" s="9">
        <f t="shared" si="3"/>
        <v>1.1854775244082414</v>
      </c>
      <c r="O3" s="13">
        <v>7869.25396825397</v>
      </c>
      <c r="P3" s="9">
        <v>115.865083512806</v>
      </c>
      <c r="Q3" s="9">
        <v>87.951032744513597</v>
      </c>
      <c r="R3" s="10">
        <v>7.8484790000000002E-3</v>
      </c>
      <c r="S3" s="10">
        <f t="shared" si="4"/>
        <v>1.4246963317906629E-2</v>
      </c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s="1" customFormat="1" ht="20.100000000000001" customHeight="1">
      <c r="A4" s="7" t="s">
        <v>17</v>
      </c>
      <c r="B4" s="15">
        <v>3.1749999999999998</v>
      </c>
      <c r="C4" s="9">
        <v>3</v>
      </c>
      <c r="D4" s="9">
        <v>175</v>
      </c>
      <c r="E4" s="10">
        <v>8</v>
      </c>
      <c r="F4" s="9" t="s">
        <v>29</v>
      </c>
      <c r="G4" s="9" t="s">
        <v>29</v>
      </c>
      <c r="H4" s="11"/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9" t="s">
        <v>29</v>
      </c>
      <c r="O4" s="11"/>
      <c r="P4" s="11"/>
      <c r="Q4" s="11"/>
      <c r="R4" s="10">
        <v>3.7578020000000002E-3</v>
      </c>
      <c r="S4" s="10">
        <f t="shared" si="4"/>
        <v>6.8213557365645197E-3</v>
      </c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s="1" customFormat="1" ht="20.100000000000001" customHeight="1">
      <c r="A5" s="7" t="s">
        <v>18</v>
      </c>
      <c r="B5" s="15">
        <v>3.25</v>
      </c>
      <c r="C5" s="9">
        <v>3</v>
      </c>
      <c r="D5" s="9">
        <v>250</v>
      </c>
      <c r="E5" s="10">
        <v>8</v>
      </c>
      <c r="F5" s="9">
        <v>11</v>
      </c>
      <c r="G5" s="9">
        <v>9</v>
      </c>
      <c r="H5" s="17" t="s">
        <v>19</v>
      </c>
      <c r="I5" s="12">
        <v>13634573</v>
      </c>
      <c r="J5" s="9">
        <f t="shared" si="0"/>
        <v>1.0341248853477733E-4</v>
      </c>
      <c r="K5" s="5">
        <f t="shared" si="1"/>
        <v>1.2409498624178243E-5</v>
      </c>
      <c r="L5" s="5">
        <f t="shared" si="5"/>
        <v>1.2409498624178244E-2</v>
      </c>
      <c r="M5" s="5">
        <f t="shared" si="2"/>
        <v>9.9275988993425946E-5</v>
      </c>
      <c r="N5" s="9">
        <f>I5*X$2*Y$2/Z$2/O5/F5</f>
        <v>1.7498785749341024</v>
      </c>
      <c r="O5" s="13">
        <v>12147.4545454545</v>
      </c>
      <c r="P5" s="9">
        <v>150.11474193226201</v>
      </c>
      <c r="Q5" s="9">
        <v>135.57087222012601</v>
      </c>
      <c r="R5" s="10">
        <v>5.4543710000000004E-3</v>
      </c>
      <c r="S5" s="10">
        <f t="shared" si="4"/>
        <v>9.9010551674093405E-3</v>
      </c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s="1" customFormat="1" ht="20.100000000000001" customHeight="1">
      <c r="A6" s="7" t="s">
        <v>20</v>
      </c>
      <c r="B6" s="15">
        <v>3.4</v>
      </c>
      <c r="C6" s="9">
        <v>3</v>
      </c>
      <c r="D6" s="9">
        <v>400</v>
      </c>
      <c r="E6" s="10">
        <v>8</v>
      </c>
      <c r="F6" s="9">
        <v>15</v>
      </c>
      <c r="G6" s="9">
        <v>11</v>
      </c>
      <c r="H6" s="11"/>
      <c r="I6" s="12">
        <v>4912751</v>
      </c>
      <c r="J6" s="9">
        <f t="shared" si="0"/>
        <v>3.7261145359060076E-5</v>
      </c>
      <c r="K6" s="5">
        <f t="shared" si="1"/>
        <v>4.471337443088998E-6</v>
      </c>
      <c r="L6" s="5">
        <f t="shared" si="5"/>
        <v>4.4713374430889984E-3</v>
      </c>
      <c r="M6" s="5">
        <f t="shared" si="2"/>
        <v>3.5770699544711984E-5</v>
      </c>
      <c r="N6" s="9">
        <f>I6*X$2*Y$2/Z$2/O6/F6</f>
        <v>1.1811111797574865</v>
      </c>
      <c r="O6" s="12">
        <v>4755.3999999999996</v>
      </c>
      <c r="P6" s="9">
        <v>100.847145589193</v>
      </c>
      <c r="Q6" s="9">
        <v>75.848167928059894</v>
      </c>
      <c r="R6" s="10">
        <v>3.5181489999999999E-3</v>
      </c>
      <c r="S6" s="10">
        <f t="shared" si="4"/>
        <v>6.3863252676002432E-3</v>
      </c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s="1" customFormat="1" ht="20.100000000000001" customHeight="1">
      <c r="A7" s="7" t="s">
        <v>21</v>
      </c>
      <c r="B7" s="15">
        <v>3.65</v>
      </c>
      <c r="C7" s="9">
        <v>3</v>
      </c>
      <c r="D7" s="9">
        <v>650</v>
      </c>
      <c r="E7" s="18">
        <v>8</v>
      </c>
      <c r="F7" s="9">
        <v>9</v>
      </c>
      <c r="G7" s="9">
        <v>7</v>
      </c>
      <c r="H7" s="11"/>
      <c r="I7" s="12">
        <v>6016752</v>
      </c>
      <c r="J7" s="9">
        <f t="shared" si="0"/>
        <v>4.5634527551145066E-5</v>
      </c>
      <c r="K7" s="5">
        <f t="shared" si="1"/>
        <v>5.476143306139598E-6</v>
      </c>
      <c r="L7" s="5">
        <f t="shared" si="5"/>
        <v>5.4761433061395982E-3</v>
      </c>
      <c r="M7" s="5">
        <f t="shared" si="2"/>
        <v>4.3809146449116784E-5</v>
      </c>
      <c r="N7" s="9">
        <f>I7*X$2*Y$2/Z$2/O7/F7</f>
        <v>1.4977877226375391</v>
      </c>
      <c r="O7" s="13">
        <v>7654.4444444444398</v>
      </c>
      <c r="P7" s="13">
        <v>124.08063040839301</v>
      </c>
      <c r="Q7" s="9">
        <v>100.839331520928</v>
      </c>
      <c r="R7" s="10">
        <v>1.0570181999999999E-2</v>
      </c>
      <c r="S7" s="10">
        <f t="shared" si="4"/>
        <v>1.9187538785234298E-2</v>
      </c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s="1" customFormat="1" ht="20.100000000000001" customHeight="1">
      <c r="A8" s="7" t="s">
        <v>22</v>
      </c>
      <c r="B8" s="19">
        <v>4.0999999999999996</v>
      </c>
      <c r="C8" s="9">
        <v>4</v>
      </c>
      <c r="D8" s="9">
        <v>1000</v>
      </c>
      <c r="E8" s="10">
        <v>7</v>
      </c>
      <c r="F8" s="9">
        <v>11</v>
      </c>
      <c r="G8" s="9">
        <v>5</v>
      </c>
      <c r="H8" s="11"/>
      <c r="I8" s="12">
        <v>4268631</v>
      </c>
      <c r="J8" s="9">
        <f t="shared" si="0"/>
        <v>3.7000876215543709E-5</v>
      </c>
      <c r="K8" s="5">
        <f t="shared" si="1"/>
        <v>4.4401051458670208E-6</v>
      </c>
      <c r="L8" s="5">
        <f t="shared" si="5"/>
        <v>4.4401051458670205E-3</v>
      </c>
      <c r="M8" s="5">
        <f t="shared" si="2"/>
        <v>3.1080736021069146E-5</v>
      </c>
      <c r="N8" s="9">
        <f>I8*X$2*Y$2/Z$2/O8/F8</f>
        <v>1.6918666631698061</v>
      </c>
      <c r="O8" s="9">
        <v>3933.45454545455</v>
      </c>
      <c r="P8" s="9">
        <v>92.392015630548698</v>
      </c>
      <c r="Q8" s="9">
        <v>62.505570498379797</v>
      </c>
      <c r="R8" s="10">
        <v>8.1146910000000003E-3</v>
      </c>
      <c r="S8" s="10">
        <f t="shared" si="4"/>
        <v>1.6834520058967139E-2</v>
      </c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s="1" customFormat="1" ht="20.100000000000001" customHeight="1">
      <c r="A9" s="7" t="s">
        <v>23</v>
      </c>
      <c r="B9" s="19">
        <v>4.2</v>
      </c>
      <c r="C9" s="9">
        <v>4</v>
      </c>
      <c r="D9" s="9">
        <v>2000</v>
      </c>
      <c r="E9" s="10">
        <v>8</v>
      </c>
      <c r="F9" s="9">
        <v>14</v>
      </c>
      <c r="G9" s="9">
        <v>3</v>
      </c>
      <c r="H9" s="11"/>
      <c r="I9" s="12">
        <v>11721466</v>
      </c>
      <c r="J9" s="9">
        <f t="shared" si="0"/>
        <v>8.890237841227463E-5</v>
      </c>
      <c r="K9" s="5">
        <f t="shared" si="1"/>
        <v>1.0668285409477222E-5</v>
      </c>
      <c r="L9" s="5">
        <f t="shared" si="5"/>
        <v>1.0668285409477223E-2</v>
      </c>
      <c r="M9" s="5">
        <f t="shared" si="2"/>
        <v>8.534628327581778E-5</v>
      </c>
      <c r="N9" s="9">
        <f>I9*X$2*Y$2/Z$2/O9/F9</f>
        <v>1.7697541401854811</v>
      </c>
      <c r="O9" s="13">
        <v>8113.0714285714303</v>
      </c>
      <c r="P9" s="9">
        <v>125.455024174282</v>
      </c>
      <c r="Q9" s="9">
        <v>87.762393542698504</v>
      </c>
      <c r="R9" s="10">
        <v>3.4250734999999997E-2</v>
      </c>
      <c r="S9" s="10">
        <f t="shared" si="4"/>
        <v>6.2173698261324344E-2</v>
      </c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s="1" customFormat="1" ht="20.100000000000001" customHeight="1">
      <c r="A10" s="7" t="s">
        <v>24</v>
      </c>
      <c r="B10" s="19">
        <v>4.3</v>
      </c>
      <c r="C10" s="9">
        <v>4</v>
      </c>
      <c r="D10" s="9">
        <v>3000</v>
      </c>
      <c r="E10" s="10">
        <v>8.5</v>
      </c>
      <c r="F10" s="9">
        <v>0</v>
      </c>
      <c r="G10" s="9">
        <v>0</v>
      </c>
      <c r="H10" s="11"/>
      <c r="I10" s="9">
        <v>0</v>
      </c>
      <c r="J10" s="9">
        <f t="shared" si="0"/>
        <v>0</v>
      </c>
      <c r="K10" s="5">
        <f t="shared" si="1"/>
        <v>0</v>
      </c>
      <c r="L10" s="5">
        <f t="shared" si="5"/>
        <v>0</v>
      </c>
      <c r="M10" s="5">
        <f t="shared" si="2"/>
        <v>0</v>
      </c>
      <c r="N10" s="11"/>
      <c r="O10" s="11"/>
      <c r="P10" s="11"/>
      <c r="Q10" s="11"/>
      <c r="R10" s="10">
        <v>6.4070179999999996E-3</v>
      </c>
      <c r="S10" s="10">
        <f t="shared" si="4"/>
        <v>1.0946210887565377E-2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s="1" customFormat="1" ht="20.100000000000001" customHeight="1">
      <c r="A11" s="7" t="s">
        <v>25</v>
      </c>
      <c r="B11" s="19">
        <v>4.4000000000000004</v>
      </c>
      <c r="C11" s="9">
        <v>4</v>
      </c>
      <c r="D11" s="9">
        <v>4000</v>
      </c>
      <c r="E11" s="10">
        <v>8</v>
      </c>
      <c r="F11" s="9">
        <v>0</v>
      </c>
      <c r="G11" s="9">
        <v>0</v>
      </c>
      <c r="H11" s="11"/>
      <c r="I11" s="9">
        <v>0</v>
      </c>
      <c r="J11" s="9">
        <f t="shared" si="0"/>
        <v>0</v>
      </c>
      <c r="K11" s="5">
        <f t="shared" si="1"/>
        <v>0</v>
      </c>
      <c r="L11" s="5">
        <f t="shared" si="5"/>
        <v>0</v>
      </c>
      <c r="M11" s="5">
        <f t="shared" si="2"/>
        <v>0</v>
      </c>
      <c r="N11" s="11"/>
      <c r="O11" s="11"/>
      <c r="P11" s="11"/>
      <c r="Q11" s="11"/>
      <c r="R11" s="10">
        <v>5.099719E-3</v>
      </c>
      <c r="S11" s="10">
        <f t="shared" si="4"/>
        <v>9.2572725906040487E-3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s="1" customFormat="1" ht="20.100000000000001" customHeight="1">
      <c r="A12" s="7" t="s">
        <v>26</v>
      </c>
      <c r="B12" s="19">
        <v>4.4904999999999999</v>
      </c>
      <c r="C12" s="9">
        <v>4</v>
      </c>
      <c r="D12" s="9">
        <v>4905</v>
      </c>
      <c r="E12" s="10">
        <v>8.5</v>
      </c>
      <c r="F12" s="9">
        <v>1</v>
      </c>
      <c r="G12" s="9">
        <v>0</v>
      </c>
      <c r="H12" s="11"/>
      <c r="I12" s="9">
        <v>0</v>
      </c>
      <c r="J12" s="9">
        <f t="shared" si="0"/>
        <v>0</v>
      </c>
      <c r="K12" s="5">
        <f t="shared" si="1"/>
        <v>0</v>
      </c>
      <c r="L12" s="5">
        <f t="shared" si="5"/>
        <v>0</v>
      </c>
      <c r="M12" s="5">
        <f t="shared" si="2"/>
        <v>0</v>
      </c>
      <c r="N12" s="11"/>
      <c r="O12" s="11"/>
      <c r="P12" s="11"/>
      <c r="Q12" s="11"/>
      <c r="R12" s="10">
        <v>4.2060420000000001E-3</v>
      </c>
      <c r="S12" s="10">
        <f t="shared" si="4"/>
        <v>7.1859050082202442E-3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s="1" customFormat="1" ht="20.100000000000001" customHeight="1">
      <c r="A13" s="7"/>
      <c r="B13" s="16"/>
      <c r="C13" s="9"/>
      <c r="D13" s="9"/>
      <c r="E13" s="10"/>
      <c r="F13" s="9"/>
      <c r="G13" s="9"/>
      <c r="H13" s="11"/>
      <c r="I13" s="12"/>
      <c r="J13" s="9"/>
      <c r="K13" s="5"/>
      <c r="L13" s="5"/>
      <c r="M13" s="5"/>
      <c r="N13" s="9"/>
      <c r="O13" s="20"/>
      <c r="P13" s="9"/>
      <c r="Q13" s="9"/>
      <c r="R13" s="10"/>
      <c r="S13" s="10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s="1" customFormat="1" ht="20.100000000000001" customHeight="1">
      <c r="A14" s="7"/>
      <c r="B14" s="8"/>
      <c r="C14" s="9"/>
      <c r="D14" s="9"/>
      <c r="E14" s="10"/>
      <c r="F14" s="9"/>
      <c r="G14" s="9"/>
      <c r="H14" s="11"/>
      <c r="I14" s="12"/>
      <c r="J14" s="9"/>
      <c r="K14" s="5"/>
      <c r="L14" s="5"/>
      <c r="M14" s="5"/>
      <c r="N14" s="9"/>
      <c r="O14" s="13"/>
      <c r="P14" s="9"/>
      <c r="Q14" s="9"/>
      <c r="R14" s="10"/>
      <c r="S14" s="10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s="1" customFormat="1" ht="20.100000000000001" customHeight="1">
      <c r="A15" s="7"/>
      <c r="B15" s="15"/>
      <c r="C15" s="9"/>
      <c r="D15" s="9"/>
      <c r="E15" s="10"/>
      <c r="F15" s="9"/>
      <c r="G15" s="9"/>
      <c r="H15" s="17"/>
      <c r="I15" s="12"/>
      <c r="J15" s="9"/>
      <c r="K15" s="5"/>
      <c r="L15" s="5"/>
      <c r="M15" s="5"/>
      <c r="N15" s="9"/>
      <c r="O15" s="13"/>
      <c r="P15" s="9"/>
      <c r="Q15" s="9"/>
      <c r="R15" s="10"/>
      <c r="S15" s="10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s="1" customFormat="1" ht="20.100000000000001" customHeight="1">
      <c r="A16" s="7"/>
      <c r="B16" s="15"/>
      <c r="C16" s="9"/>
      <c r="D16" s="9"/>
      <c r="E16" s="10"/>
      <c r="F16" s="9"/>
      <c r="G16" s="9"/>
      <c r="H16" s="11"/>
      <c r="I16" s="12"/>
      <c r="J16" s="9"/>
      <c r="K16" s="5"/>
      <c r="L16" s="5"/>
      <c r="M16" s="5"/>
      <c r="N16" s="9"/>
      <c r="O16" s="13"/>
      <c r="P16" s="9"/>
      <c r="Q16" s="9"/>
      <c r="R16" s="10"/>
      <c r="S16" s="10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s="1" customFormat="1" ht="20.100000000000001" customHeight="1">
      <c r="A17" s="7"/>
      <c r="B17" s="15"/>
      <c r="C17" s="9"/>
      <c r="D17" s="9"/>
      <c r="E17" s="10"/>
      <c r="F17" s="9"/>
      <c r="G17" s="9"/>
      <c r="H17" s="11"/>
      <c r="I17" s="12"/>
      <c r="J17" s="9"/>
      <c r="K17" s="5"/>
      <c r="L17" s="5"/>
      <c r="M17" s="5"/>
      <c r="N17" s="9"/>
      <c r="O17" s="12"/>
      <c r="P17" s="9"/>
      <c r="Q17" s="9"/>
      <c r="R17" s="10"/>
      <c r="S17" s="10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s="1" customFormat="1" ht="20.100000000000001" customHeight="1">
      <c r="A18" s="7"/>
      <c r="B18" s="15"/>
      <c r="C18" s="9"/>
      <c r="D18" s="9"/>
      <c r="E18" s="10"/>
      <c r="F18" s="9"/>
      <c r="G18" s="9"/>
      <c r="H18" s="11"/>
      <c r="I18" s="12"/>
      <c r="J18" s="9"/>
      <c r="K18" s="5"/>
      <c r="L18" s="5"/>
      <c r="M18" s="5"/>
      <c r="N18" s="9"/>
      <c r="O18" s="21"/>
      <c r="P18" s="9"/>
      <c r="Q18" s="9"/>
      <c r="R18" s="10"/>
      <c r="S18" s="10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s="1" customFormat="1" ht="20.100000000000001" customHeight="1">
      <c r="A19" s="7"/>
      <c r="B19" s="15"/>
      <c r="C19" s="9"/>
      <c r="D19" s="9"/>
      <c r="E19" s="10"/>
      <c r="F19" s="9"/>
      <c r="G19" s="9"/>
      <c r="H19" s="11"/>
      <c r="I19" s="12"/>
      <c r="J19" s="9"/>
      <c r="K19" s="5"/>
      <c r="L19" s="5"/>
      <c r="M19" s="5"/>
      <c r="N19" s="9"/>
      <c r="O19" s="13"/>
      <c r="P19" s="9"/>
      <c r="Q19" s="9"/>
      <c r="R19" s="10"/>
      <c r="S19" s="10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s="1" customFormat="1" ht="20.100000000000001" customHeight="1">
      <c r="A20" s="7"/>
      <c r="B20" s="19"/>
      <c r="C20" s="9"/>
      <c r="D20" s="9"/>
      <c r="E20" s="10"/>
      <c r="F20" s="9"/>
      <c r="G20" s="9"/>
      <c r="H20" s="11"/>
      <c r="I20" s="12"/>
      <c r="J20" s="9"/>
      <c r="K20" s="5"/>
      <c r="L20" s="5"/>
      <c r="M20" s="5"/>
      <c r="N20" s="9"/>
      <c r="O20" s="22"/>
      <c r="P20" s="9"/>
      <c r="Q20" s="9"/>
      <c r="R20" s="10"/>
      <c r="S20" s="10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s="1" customFormat="1" ht="20.100000000000001" customHeight="1">
      <c r="A21" s="7"/>
      <c r="B21" s="19"/>
      <c r="C21" s="9"/>
      <c r="D21" s="9"/>
      <c r="E21" s="10"/>
      <c r="F21" s="9"/>
      <c r="G21" s="9"/>
      <c r="H21" s="11"/>
      <c r="I21" s="12"/>
      <c r="J21" s="9"/>
      <c r="K21" s="5"/>
      <c r="L21" s="5"/>
      <c r="M21" s="5"/>
      <c r="N21" s="9"/>
      <c r="O21" s="12"/>
      <c r="P21" s="9"/>
      <c r="Q21" s="9"/>
      <c r="R21" s="10"/>
      <c r="S21" s="10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s="1" customFormat="1" ht="20.100000000000001" customHeight="1">
      <c r="A22" s="7"/>
      <c r="B22" s="19"/>
      <c r="C22" s="9"/>
      <c r="D22" s="9"/>
      <c r="E22" s="10"/>
      <c r="F22" s="9"/>
      <c r="G22" s="9"/>
      <c r="H22" s="11"/>
      <c r="I22" s="12"/>
      <c r="J22" s="9"/>
      <c r="K22" s="5"/>
      <c r="L22" s="5"/>
      <c r="M22" s="5"/>
      <c r="N22" s="9"/>
      <c r="O22" s="12"/>
      <c r="P22" s="9"/>
      <c r="Q22" s="9"/>
      <c r="R22" s="10"/>
      <c r="S22" s="10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s="1" customFormat="1" ht="20.100000000000001" customHeight="1">
      <c r="A23" s="7"/>
      <c r="B23" s="16"/>
      <c r="C23" s="9"/>
      <c r="D23" s="9"/>
      <c r="E23" s="10"/>
      <c r="F23" s="9"/>
      <c r="G23" s="9"/>
      <c r="H23" s="11"/>
      <c r="I23" s="12"/>
      <c r="J23" s="9"/>
      <c r="K23" s="5"/>
      <c r="L23" s="5"/>
      <c r="M23" s="5"/>
      <c r="N23" s="9"/>
      <c r="O23" s="23"/>
      <c r="P23" s="9"/>
      <c r="Q23" s="9"/>
      <c r="R23" s="10"/>
      <c r="S23" s="10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s="1" customFormat="1" ht="20.100000000000001" customHeight="1">
      <c r="A24" s="7"/>
      <c r="B24" s="8"/>
      <c r="C24" s="9"/>
      <c r="D24" s="9"/>
      <c r="E24" s="10"/>
      <c r="F24" s="9"/>
      <c r="G24" s="9"/>
      <c r="H24" s="11"/>
      <c r="I24" s="12"/>
      <c r="J24" s="9"/>
      <c r="K24" s="5"/>
      <c r="L24" s="5"/>
      <c r="M24" s="5"/>
      <c r="N24" s="9"/>
      <c r="O24" s="9"/>
      <c r="P24" s="9"/>
      <c r="Q24" s="9"/>
      <c r="R24" s="10"/>
      <c r="S24" s="10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s="1" customFormat="1" ht="20.100000000000001" customHeight="1">
      <c r="A25" s="7"/>
      <c r="B25" s="8"/>
      <c r="C25" s="9"/>
      <c r="D25" s="9"/>
      <c r="E25" s="10"/>
      <c r="F25" s="9"/>
      <c r="G25" s="9"/>
      <c r="H25" s="11"/>
      <c r="I25" s="12"/>
      <c r="J25" s="9"/>
      <c r="K25" s="5"/>
      <c r="L25" s="5"/>
      <c r="M25" s="5"/>
      <c r="N25" s="9"/>
      <c r="O25" s="9"/>
      <c r="P25" s="9"/>
      <c r="Q25" s="9"/>
      <c r="R25" s="10"/>
      <c r="S25" s="10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s="1" customFormat="1" ht="20.100000000000001" customHeight="1">
      <c r="A26" s="7"/>
      <c r="B26" s="15"/>
      <c r="C26" s="9"/>
      <c r="D26" s="9"/>
      <c r="E26" s="10"/>
      <c r="F26" s="9"/>
      <c r="G26" s="9"/>
      <c r="H26" s="11"/>
      <c r="I26" s="12"/>
      <c r="J26" s="9"/>
      <c r="K26" s="5"/>
      <c r="L26" s="5"/>
      <c r="M26" s="5"/>
      <c r="N26" s="9"/>
      <c r="O26" s="13"/>
      <c r="P26" s="13"/>
      <c r="Q26" s="9"/>
      <c r="R26" s="10"/>
      <c r="S26" s="10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s="1" customFormat="1" ht="20.100000000000001" customHeight="1">
      <c r="A27" s="7"/>
      <c r="B27" s="15"/>
      <c r="C27" s="9"/>
      <c r="D27" s="9"/>
      <c r="E27" s="10"/>
      <c r="F27" s="9"/>
      <c r="G27" s="9"/>
      <c r="H27" s="11"/>
      <c r="I27" s="12"/>
      <c r="J27" s="9"/>
      <c r="K27" s="5"/>
      <c r="L27" s="5"/>
      <c r="M27" s="5"/>
      <c r="N27" s="9"/>
      <c r="O27" s="24"/>
      <c r="P27" s="9"/>
      <c r="Q27" s="9"/>
      <c r="R27" s="10"/>
      <c r="S27" s="10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s="1" customFormat="1" ht="20.100000000000001" customHeight="1">
      <c r="A28" s="7"/>
      <c r="B28" s="15"/>
      <c r="C28" s="9"/>
      <c r="D28" s="9"/>
      <c r="E28" s="10"/>
      <c r="F28" s="9"/>
      <c r="G28" s="9"/>
      <c r="H28" s="11"/>
      <c r="I28" s="12"/>
      <c r="J28" s="9"/>
      <c r="K28" s="5"/>
      <c r="L28" s="5"/>
      <c r="M28" s="5"/>
      <c r="N28" s="9"/>
      <c r="O28" s="13"/>
      <c r="P28" s="9"/>
      <c r="Q28" s="9"/>
      <c r="R28" s="10"/>
      <c r="S28" s="10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s="1" customFormat="1" ht="20.100000000000001" customHeight="1">
      <c r="A29" s="7"/>
      <c r="B29" s="15"/>
      <c r="C29" s="9"/>
      <c r="D29" s="9"/>
      <c r="E29" s="10"/>
      <c r="F29" s="9"/>
      <c r="G29" s="9"/>
      <c r="H29" s="11"/>
      <c r="I29" s="12"/>
      <c r="J29" s="9"/>
      <c r="K29" s="5"/>
      <c r="L29" s="5"/>
      <c r="M29" s="5"/>
      <c r="N29" s="9"/>
      <c r="O29" s="13"/>
      <c r="P29" s="9"/>
      <c r="Q29" s="9"/>
      <c r="R29" s="10"/>
      <c r="S29" s="10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s="1" customFormat="1" ht="20.100000000000001" customHeight="1">
      <c r="A30" s="7"/>
      <c r="B30" s="19"/>
      <c r="C30" s="9"/>
      <c r="D30" s="9"/>
      <c r="E30" s="10"/>
      <c r="F30" s="9"/>
      <c r="G30" s="9"/>
      <c r="H30" s="11"/>
      <c r="I30" s="12"/>
      <c r="J30" s="9"/>
      <c r="K30" s="5"/>
      <c r="L30" s="5"/>
      <c r="M30" s="5"/>
      <c r="N30" s="9"/>
      <c r="O30" s="9"/>
      <c r="P30" s="9"/>
      <c r="Q30" s="9"/>
      <c r="R30" s="10"/>
      <c r="S30" s="10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s="1" customFormat="1" ht="20.100000000000001" customHeight="1">
      <c r="A31" s="7"/>
      <c r="B31" s="16"/>
      <c r="C31" s="9"/>
      <c r="D31" s="9"/>
      <c r="E31" s="10"/>
      <c r="F31" s="9"/>
      <c r="G31" s="9"/>
      <c r="H31" s="11"/>
      <c r="I31" s="12"/>
      <c r="J31" s="9"/>
      <c r="K31" s="5"/>
      <c r="L31" s="5"/>
      <c r="M31" s="5"/>
      <c r="N31" s="9"/>
      <c r="O31" s="13"/>
      <c r="P31" s="9"/>
      <c r="Q31" s="9"/>
      <c r="R31" s="10"/>
      <c r="S31" s="10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s="1" customFormat="1" ht="20.100000000000001" customHeight="1">
      <c r="A32" s="7"/>
      <c r="B32" s="8"/>
      <c r="C32" s="9"/>
      <c r="D32" s="9"/>
      <c r="E32" s="10"/>
      <c r="F32" s="9"/>
      <c r="G32" s="9"/>
      <c r="H32" s="11"/>
      <c r="I32" s="12"/>
      <c r="J32" s="9"/>
      <c r="K32" s="5"/>
      <c r="L32" s="5"/>
      <c r="M32" s="5"/>
      <c r="N32" s="9"/>
      <c r="O32" s="13"/>
      <c r="P32" s="9"/>
      <c r="Q32" s="9"/>
      <c r="R32" s="10"/>
      <c r="S32" s="10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s="1" customFormat="1" ht="20.100000000000001" customHeight="1">
      <c r="A33" s="7"/>
      <c r="B33" s="15"/>
      <c r="C33" s="9"/>
      <c r="D33" s="9"/>
      <c r="E33" s="10"/>
      <c r="F33" s="9"/>
      <c r="G33" s="9"/>
      <c r="H33" s="17"/>
      <c r="I33" s="12"/>
      <c r="J33" s="9"/>
      <c r="K33" s="5"/>
      <c r="L33" s="5"/>
      <c r="M33" s="5"/>
      <c r="N33" s="9"/>
      <c r="O33" s="12"/>
      <c r="P33" s="9"/>
      <c r="Q33" s="9"/>
      <c r="R33" s="10"/>
      <c r="S33" s="10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s="1" customFormat="1" ht="20.100000000000001" customHeight="1">
      <c r="A34" s="7"/>
      <c r="B34" s="15"/>
      <c r="C34" s="9"/>
      <c r="D34" s="9"/>
      <c r="E34" s="10"/>
      <c r="F34" s="9"/>
      <c r="G34" s="9"/>
      <c r="H34" s="11"/>
      <c r="I34" s="12"/>
      <c r="J34" s="9"/>
      <c r="K34" s="5"/>
      <c r="L34" s="5"/>
      <c r="M34" s="5"/>
      <c r="N34" s="9"/>
      <c r="O34" s="12"/>
      <c r="P34" s="9"/>
      <c r="Q34" s="9"/>
      <c r="R34" s="10"/>
      <c r="S34" s="10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s="1" customFormat="1" ht="20.100000000000001" customHeight="1">
      <c r="A35" s="7"/>
      <c r="B35" s="15"/>
      <c r="C35" s="9"/>
      <c r="D35" s="9"/>
      <c r="E35" s="10"/>
      <c r="F35" s="9"/>
      <c r="G35" s="9"/>
      <c r="H35" s="11"/>
      <c r="I35" s="12"/>
      <c r="J35" s="9"/>
      <c r="K35" s="5"/>
      <c r="L35" s="5"/>
      <c r="M35" s="5"/>
      <c r="N35" s="9"/>
      <c r="O35" s="13"/>
      <c r="P35" s="9"/>
      <c r="Q35" s="9"/>
      <c r="R35" s="10"/>
      <c r="S35" s="10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s="1" customFormat="1" ht="20.100000000000001" customHeight="1">
      <c r="A36" s="7"/>
      <c r="B36" s="15"/>
      <c r="C36" s="9"/>
      <c r="D36" s="9"/>
      <c r="E36" s="10"/>
      <c r="F36" s="9"/>
      <c r="G36" s="9"/>
      <c r="H36" s="11"/>
      <c r="I36" s="12"/>
      <c r="J36" s="9"/>
      <c r="K36" s="5"/>
      <c r="L36" s="5"/>
      <c r="M36" s="5"/>
      <c r="N36" s="9"/>
      <c r="O36" s="12"/>
      <c r="P36" s="9"/>
      <c r="Q36" s="9"/>
      <c r="R36" s="10"/>
      <c r="S36" s="10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s="1" customFormat="1" ht="20.100000000000001" customHeight="1">
      <c r="A37" s="7"/>
      <c r="B37" s="19"/>
      <c r="C37" s="9"/>
      <c r="D37" s="9"/>
      <c r="E37" s="10"/>
      <c r="F37" s="9"/>
      <c r="G37" s="9"/>
      <c r="H37" s="11"/>
      <c r="I37" s="12"/>
      <c r="J37" s="9"/>
      <c r="K37" s="5"/>
      <c r="L37" s="5"/>
      <c r="M37" s="5"/>
      <c r="N37" s="9"/>
      <c r="O37" s="12"/>
      <c r="P37" s="9"/>
      <c r="Q37" s="9"/>
      <c r="R37" s="10"/>
      <c r="S37" s="10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s="1" customFormat="1" ht="20.100000000000001" customHeight="1">
      <c r="A38" s="7"/>
      <c r="B38" s="19"/>
      <c r="C38" s="9"/>
      <c r="D38" s="9"/>
      <c r="E38" s="10"/>
      <c r="F38" s="9"/>
      <c r="G38" s="9"/>
      <c r="H38" s="11"/>
      <c r="I38" s="12"/>
      <c r="J38" s="9"/>
      <c r="K38" s="5"/>
      <c r="L38" s="5"/>
      <c r="M38" s="5"/>
      <c r="N38" s="9"/>
      <c r="O38" s="12"/>
      <c r="P38" s="9"/>
      <c r="Q38" s="9"/>
      <c r="R38" s="10"/>
      <c r="S38" s="10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s="1" customFormat="1" ht="20.100000000000001" customHeight="1">
      <c r="A39" s="7"/>
      <c r="B39" s="19"/>
      <c r="C39" s="9"/>
      <c r="D39" s="9"/>
      <c r="E39" s="10"/>
      <c r="F39" s="9"/>
      <c r="G39" s="9"/>
      <c r="H39" s="11"/>
      <c r="I39" s="9"/>
      <c r="J39" s="9"/>
      <c r="K39" s="5"/>
      <c r="L39" s="5"/>
      <c r="M39" s="5"/>
      <c r="N39" s="11"/>
      <c r="O39" s="11"/>
      <c r="P39" s="11"/>
      <c r="Q39" s="11"/>
      <c r="R39" s="10"/>
      <c r="S39" s="10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s="1" customFormat="1" ht="20.100000000000001" customHeight="1">
      <c r="A40" s="7"/>
      <c r="B40" s="19"/>
      <c r="C40" s="9"/>
      <c r="D40" s="9"/>
      <c r="E40" s="10"/>
      <c r="F40" s="9"/>
      <c r="G40" s="9"/>
      <c r="H40" s="11"/>
      <c r="I40" s="12"/>
      <c r="J40" s="9"/>
      <c r="K40" s="5"/>
      <c r="L40" s="5"/>
      <c r="M40" s="5"/>
      <c r="N40" s="9"/>
      <c r="O40" s="9"/>
      <c r="P40" s="9"/>
      <c r="Q40" s="9"/>
      <c r="R40" s="10"/>
      <c r="S40" s="10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s="1" customFormat="1" ht="20.100000000000001" customHeight="1">
      <c r="A41" s="7"/>
      <c r="B41" s="19"/>
      <c r="C41" s="9"/>
      <c r="D41" s="9"/>
      <c r="E41" s="10"/>
      <c r="F41" s="9"/>
      <c r="G41" s="9"/>
      <c r="H41" s="11"/>
      <c r="I41" s="12"/>
      <c r="J41" s="9"/>
      <c r="K41" s="5"/>
      <c r="L41" s="5"/>
      <c r="M41" s="5"/>
      <c r="N41" s="11"/>
      <c r="O41" s="11"/>
      <c r="P41" s="11"/>
      <c r="Q41" s="11"/>
      <c r="R41" s="10"/>
      <c r="S41" s="10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s="1" customFormat="1" ht="20.100000000000001" customHeight="1">
      <c r="A42" s="7"/>
      <c r="B42" s="16"/>
      <c r="C42" s="9"/>
      <c r="D42" s="9"/>
      <c r="E42" s="10"/>
      <c r="F42" s="9"/>
      <c r="G42" s="9"/>
      <c r="H42" s="11"/>
      <c r="I42" s="12"/>
      <c r="J42" s="9"/>
      <c r="K42" s="5"/>
      <c r="L42" s="5"/>
      <c r="M42" s="5"/>
      <c r="N42" s="9"/>
      <c r="O42" s="13"/>
      <c r="P42" s="9"/>
      <c r="Q42" s="9"/>
      <c r="R42" s="10"/>
      <c r="S42" s="10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s="1" customFormat="1" ht="20.100000000000001" customHeight="1">
      <c r="A43" s="7"/>
      <c r="B43" s="8"/>
      <c r="C43" s="9"/>
      <c r="D43" s="9"/>
      <c r="E43" s="10"/>
      <c r="F43" s="9"/>
      <c r="G43" s="9"/>
      <c r="H43" s="11"/>
      <c r="I43" s="9"/>
      <c r="J43" s="9"/>
      <c r="K43" s="5"/>
      <c r="L43" s="5"/>
      <c r="M43" s="5"/>
      <c r="N43" s="11"/>
      <c r="O43" s="11"/>
      <c r="P43" s="11"/>
      <c r="Q43" s="11"/>
      <c r="R43" s="10"/>
      <c r="S43" s="10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s="1" customFormat="1" ht="20.100000000000001" customHeight="1">
      <c r="A44" s="7"/>
      <c r="B44" s="15"/>
      <c r="C44" s="9"/>
      <c r="D44" s="9"/>
      <c r="E44" s="10"/>
      <c r="F44" s="9"/>
      <c r="G44" s="9"/>
      <c r="H44" s="17"/>
      <c r="I44" s="12"/>
      <c r="J44" s="9"/>
      <c r="K44" s="5"/>
      <c r="L44" s="5"/>
      <c r="M44" s="5"/>
      <c r="N44" s="9"/>
      <c r="O44" s="13"/>
      <c r="P44" s="9"/>
      <c r="Q44" s="9"/>
      <c r="R44" s="10"/>
      <c r="S44" s="10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s="1" customFormat="1" ht="20.100000000000001" customHeight="1">
      <c r="A45" s="7"/>
      <c r="B45" s="15"/>
      <c r="C45" s="9"/>
      <c r="D45" s="9"/>
      <c r="E45" s="10"/>
      <c r="F45" s="9"/>
      <c r="G45" s="9"/>
      <c r="H45" s="17"/>
      <c r="I45" s="12"/>
      <c r="J45" s="9"/>
      <c r="K45" s="5"/>
      <c r="L45" s="5"/>
      <c r="M45" s="5"/>
      <c r="N45" s="9"/>
      <c r="O45" s="13"/>
      <c r="P45" s="9"/>
      <c r="Q45" s="9"/>
      <c r="R45" s="10"/>
      <c r="S45" s="10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s="1" customFormat="1" ht="20.100000000000001" customHeight="1">
      <c r="A46" s="7"/>
      <c r="B46" s="15"/>
      <c r="C46" s="9"/>
      <c r="D46" s="9"/>
      <c r="E46" s="10"/>
      <c r="F46" s="9"/>
      <c r="G46" s="9"/>
      <c r="H46" s="11"/>
      <c r="I46" s="12"/>
      <c r="J46" s="9"/>
      <c r="K46" s="5"/>
      <c r="L46" s="5"/>
      <c r="M46" s="5"/>
      <c r="N46" s="9"/>
      <c r="O46" s="12"/>
      <c r="P46" s="9"/>
      <c r="Q46" s="9"/>
      <c r="R46" s="10"/>
      <c r="S46" s="10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s="1" customFormat="1" ht="20.100000000000001" customHeight="1">
      <c r="A47" s="7"/>
      <c r="B47" s="15"/>
      <c r="C47" s="9"/>
      <c r="D47" s="9"/>
      <c r="E47" s="18"/>
      <c r="F47" s="9"/>
      <c r="G47" s="9"/>
      <c r="H47" s="11"/>
      <c r="I47" s="12"/>
      <c r="J47" s="9"/>
      <c r="K47" s="5"/>
      <c r="L47" s="5"/>
      <c r="M47" s="5"/>
      <c r="N47" s="11"/>
      <c r="O47" s="11"/>
      <c r="P47" s="11"/>
      <c r="Q47" s="11"/>
      <c r="R47" s="10"/>
      <c r="S47" s="10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s="1" customFormat="1" ht="20.100000000000001" customHeight="1">
      <c r="A48" s="7"/>
      <c r="B48" s="15"/>
      <c r="C48" s="9"/>
      <c r="D48" s="9"/>
      <c r="E48" s="10"/>
      <c r="F48" s="9"/>
      <c r="G48" s="9"/>
      <c r="H48" s="11"/>
      <c r="I48" s="12"/>
      <c r="J48" s="9"/>
      <c r="K48" s="5"/>
      <c r="L48" s="5"/>
      <c r="M48" s="5"/>
      <c r="N48" s="9"/>
      <c r="O48" s="13"/>
      <c r="P48" s="9"/>
      <c r="Q48" s="9"/>
      <c r="R48" s="10"/>
      <c r="S48" s="10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s="1" customFormat="1" ht="20.100000000000001" customHeight="1">
      <c r="A49" s="7"/>
      <c r="B49" s="15"/>
      <c r="C49" s="9"/>
      <c r="D49" s="9"/>
      <c r="E49" s="10"/>
      <c r="F49" s="9"/>
      <c r="G49" s="9"/>
      <c r="H49" s="11"/>
      <c r="I49" s="12"/>
      <c r="J49" s="9"/>
      <c r="K49" s="5"/>
      <c r="L49" s="5"/>
      <c r="M49" s="5"/>
      <c r="N49" s="9"/>
      <c r="O49" s="13"/>
      <c r="P49" s="9"/>
      <c r="Q49" s="9"/>
      <c r="R49" s="10"/>
      <c r="S49" s="10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 s="1" customFormat="1" ht="20.100000000000001" customHeight="1">
      <c r="A50" s="7"/>
      <c r="B50" s="19"/>
      <c r="C50" s="9"/>
      <c r="D50" s="9"/>
      <c r="E50" s="10"/>
      <c r="F50" s="9"/>
      <c r="G50" s="9"/>
      <c r="H50" s="11"/>
      <c r="I50" s="12"/>
      <c r="J50" s="9"/>
      <c r="K50" s="5"/>
      <c r="L50" s="5"/>
      <c r="M50" s="5"/>
      <c r="N50" s="9"/>
      <c r="O50" s="12"/>
      <c r="P50" s="9"/>
      <c r="Q50" s="9"/>
      <c r="R50" s="10"/>
      <c r="S50" s="10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1:29" s="1" customFormat="1" ht="20.100000000000001" customHeight="1">
      <c r="A51" s="7"/>
      <c r="B51" s="19"/>
      <c r="C51" s="9"/>
      <c r="D51" s="9"/>
      <c r="E51" s="10"/>
      <c r="F51" s="9"/>
      <c r="G51" s="9"/>
      <c r="H51" s="11"/>
      <c r="I51" s="12"/>
      <c r="J51" s="9"/>
      <c r="K51" s="5"/>
      <c r="L51" s="5"/>
      <c r="M51" s="5"/>
      <c r="N51" s="9"/>
      <c r="O51" s="20"/>
      <c r="P51" s="9"/>
      <c r="Q51" s="9"/>
      <c r="R51" s="10"/>
      <c r="S51" s="10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s="1" customFormat="1" ht="20.100000000000001" customHeight="1">
      <c r="A52" s="7"/>
      <c r="B52" s="16"/>
      <c r="C52" s="9"/>
      <c r="D52" s="9"/>
      <c r="E52" s="10"/>
      <c r="F52" s="9"/>
      <c r="G52" s="9"/>
      <c r="H52" s="11"/>
      <c r="I52" s="12"/>
      <c r="J52" s="9"/>
      <c r="K52" s="5"/>
      <c r="L52" s="5"/>
      <c r="M52" s="5"/>
      <c r="N52" s="9"/>
      <c r="O52" s="12"/>
      <c r="P52" s="9"/>
      <c r="Q52" s="9"/>
      <c r="R52" s="10"/>
      <c r="S52" s="10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s="1" customFormat="1" ht="20.100000000000001" customHeight="1">
      <c r="A53" s="7"/>
      <c r="B53" s="8"/>
      <c r="C53" s="9"/>
      <c r="D53" s="9"/>
      <c r="E53" s="10"/>
      <c r="F53" s="9"/>
      <c r="G53" s="9"/>
      <c r="H53" s="11"/>
      <c r="I53" s="12"/>
      <c r="J53" s="9"/>
      <c r="K53" s="5"/>
      <c r="L53" s="5"/>
      <c r="M53" s="5"/>
      <c r="N53" s="9"/>
      <c r="O53" s="9"/>
      <c r="P53" s="9"/>
      <c r="Q53" s="9"/>
      <c r="R53" s="10"/>
      <c r="S53" s="10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s="1" customFormat="1" ht="20.100000000000001" customHeight="1">
      <c r="A54" s="7"/>
      <c r="B54" s="15"/>
      <c r="C54" s="9"/>
      <c r="D54" s="9"/>
      <c r="E54" s="10"/>
      <c r="F54" s="9"/>
      <c r="G54" s="9"/>
      <c r="H54" s="11"/>
      <c r="I54" s="12"/>
      <c r="J54" s="9"/>
      <c r="K54" s="5"/>
      <c r="L54" s="5"/>
      <c r="M54" s="5"/>
      <c r="N54" s="9"/>
      <c r="O54" s="13"/>
      <c r="P54" s="9"/>
      <c r="Q54" s="9"/>
      <c r="R54" s="10"/>
      <c r="S54" s="10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 s="1" customFormat="1" ht="20.100000000000001" customHeight="1">
      <c r="A55" s="7"/>
      <c r="B55" s="15"/>
      <c r="C55" s="9"/>
      <c r="D55" s="9"/>
      <c r="E55" s="10"/>
      <c r="F55" s="9"/>
      <c r="G55" s="9"/>
      <c r="H55" s="11"/>
      <c r="I55" s="9"/>
      <c r="J55" s="9"/>
      <c r="K55" s="5"/>
      <c r="L55" s="5"/>
      <c r="M55" s="5"/>
      <c r="N55" s="11"/>
      <c r="O55" s="11"/>
      <c r="P55" s="11"/>
      <c r="Q55" s="11"/>
      <c r="R55" s="10"/>
      <c r="S55" s="10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s="1" customFormat="1" ht="20.100000000000001" customHeight="1">
      <c r="A56" s="7"/>
      <c r="B56" s="15"/>
      <c r="C56" s="9"/>
      <c r="D56" s="9"/>
      <c r="E56" s="10"/>
      <c r="F56" s="9"/>
      <c r="G56" s="9"/>
      <c r="H56" s="11"/>
      <c r="I56" s="12"/>
      <c r="J56" s="9"/>
      <c r="K56" s="5"/>
      <c r="L56" s="5"/>
      <c r="M56" s="5"/>
      <c r="N56" s="9"/>
      <c r="O56" s="13"/>
      <c r="P56" s="9"/>
      <c r="Q56" s="9"/>
      <c r="R56" s="10"/>
      <c r="S56" s="10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 s="1" customFormat="1" ht="20.100000000000001" customHeight="1">
      <c r="A57" s="7"/>
      <c r="B57" s="15"/>
      <c r="C57" s="9"/>
      <c r="D57" s="9"/>
      <c r="E57" s="10"/>
      <c r="F57" s="9"/>
      <c r="G57" s="9"/>
      <c r="H57" s="11"/>
      <c r="I57" s="9"/>
      <c r="J57" s="9"/>
      <c r="K57" s="5"/>
      <c r="L57" s="5"/>
      <c r="M57" s="5"/>
      <c r="N57" s="11"/>
      <c r="O57" s="11"/>
      <c r="P57" s="11"/>
      <c r="Q57" s="11"/>
      <c r="R57" s="10"/>
      <c r="S57" s="10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s="1" customFormat="1" ht="20.100000000000001" customHeight="1">
      <c r="A58" s="7"/>
      <c r="B58" s="19"/>
      <c r="C58" s="9"/>
      <c r="D58" s="9"/>
      <c r="E58" s="10"/>
      <c r="F58" s="9"/>
      <c r="G58" s="9"/>
      <c r="H58" s="11"/>
      <c r="I58" s="12"/>
      <c r="J58" s="9"/>
      <c r="K58" s="5"/>
      <c r="L58" s="5"/>
      <c r="M58" s="5"/>
      <c r="N58" s="9"/>
      <c r="O58" s="12"/>
      <c r="P58" s="9"/>
      <c r="Q58" s="9"/>
      <c r="R58" s="10"/>
      <c r="S58" s="10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 s="1" customFormat="1" ht="20.100000000000001" customHeight="1">
      <c r="A59" s="7"/>
      <c r="B59" s="19"/>
      <c r="C59" s="9"/>
      <c r="D59" s="9"/>
      <c r="E59" s="10"/>
      <c r="F59" s="9"/>
      <c r="G59" s="9"/>
      <c r="H59" s="11"/>
      <c r="I59" s="9"/>
      <c r="J59" s="9"/>
      <c r="K59" s="5"/>
      <c r="L59" s="5"/>
      <c r="M59" s="5"/>
      <c r="N59" s="11"/>
      <c r="O59" s="11"/>
      <c r="P59" s="11"/>
      <c r="Q59" s="11"/>
      <c r="R59" s="10"/>
      <c r="S59" s="10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s="1" customFormat="1" ht="20.100000000000001" customHeight="1">
      <c r="A60" s="7"/>
      <c r="B60" s="19"/>
      <c r="C60" s="9"/>
      <c r="D60" s="9"/>
      <c r="E60" s="10"/>
      <c r="F60" s="9"/>
      <c r="G60" s="9"/>
      <c r="H60" s="11"/>
      <c r="I60" s="12"/>
      <c r="J60" s="9"/>
      <c r="K60" s="5"/>
      <c r="L60" s="5"/>
      <c r="M60" s="5"/>
      <c r="N60" s="9"/>
      <c r="O60" s="12"/>
      <c r="P60" s="9"/>
      <c r="Q60" s="9"/>
      <c r="R60" s="10"/>
      <c r="S60" s="10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s="1" customFormat="1" ht="20.100000000000001" customHeight="1">
      <c r="A61" s="7"/>
      <c r="B61" s="19"/>
      <c r="C61" s="9"/>
      <c r="D61" s="9"/>
      <c r="E61" s="10"/>
      <c r="F61" s="9"/>
      <c r="G61" s="9"/>
      <c r="H61" s="11"/>
      <c r="I61" s="12"/>
      <c r="J61" s="9"/>
      <c r="K61" s="5"/>
      <c r="L61" s="5"/>
      <c r="M61" s="5"/>
      <c r="N61" s="9"/>
      <c r="O61" s="13"/>
      <c r="P61" s="9"/>
      <c r="Q61" s="9"/>
      <c r="R61" s="10"/>
      <c r="S61" s="10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s="1" customFormat="1" ht="20.100000000000001" customHeight="1">
      <c r="A62" s="7"/>
      <c r="B62" s="16"/>
      <c r="C62" s="9"/>
      <c r="D62" s="9"/>
      <c r="E62" s="10"/>
      <c r="F62" s="9"/>
      <c r="G62" s="9"/>
      <c r="H62" s="11"/>
      <c r="I62" s="12"/>
      <c r="J62" s="9"/>
      <c r="K62" s="5"/>
      <c r="L62" s="5"/>
      <c r="M62" s="5"/>
      <c r="N62" s="9"/>
      <c r="O62" s="13"/>
      <c r="P62" s="9"/>
      <c r="Q62" s="9"/>
      <c r="R62" s="10"/>
      <c r="S62" s="10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 s="1" customFormat="1" ht="20.100000000000001" customHeight="1">
      <c r="A63" s="7"/>
      <c r="B63" s="8"/>
      <c r="C63" s="9"/>
      <c r="D63" s="9"/>
      <c r="E63" s="10"/>
      <c r="F63" s="9"/>
      <c r="G63" s="9"/>
      <c r="H63" s="11"/>
      <c r="I63" s="12"/>
      <c r="J63" s="9"/>
      <c r="K63" s="5"/>
      <c r="L63" s="5"/>
      <c r="M63" s="5"/>
      <c r="N63" s="9"/>
      <c r="O63" s="13"/>
      <c r="P63" s="9"/>
      <c r="Q63" s="9"/>
      <c r="R63" s="10"/>
      <c r="S63" s="10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29" s="1" customFormat="1" ht="20.100000000000001" customHeight="1">
      <c r="A64" s="7"/>
      <c r="B64" s="8"/>
      <c r="C64" s="9"/>
      <c r="D64" s="9"/>
      <c r="E64" s="10"/>
      <c r="F64" s="9"/>
      <c r="G64" s="9"/>
      <c r="H64" s="11"/>
      <c r="I64" s="12"/>
      <c r="J64" s="9"/>
      <c r="K64" s="5"/>
      <c r="L64" s="5"/>
      <c r="M64" s="5"/>
      <c r="N64" s="9"/>
      <c r="O64" s="13"/>
      <c r="P64" s="9"/>
      <c r="Q64" s="9"/>
      <c r="R64" s="10"/>
      <c r="S64" s="10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s="1" customFormat="1" ht="20.100000000000001" customHeight="1">
      <c r="A65" s="7"/>
      <c r="B65" s="15"/>
      <c r="C65" s="9"/>
      <c r="D65" s="9"/>
      <c r="E65" s="10"/>
      <c r="F65" s="9"/>
      <c r="G65" s="9"/>
      <c r="H65" s="11"/>
      <c r="I65" s="12"/>
      <c r="J65" s="9"/>
      <c r="K65" s="5"/>
      <c r="L65" s="5"/>
      <c r="M65" s="5"/>
      <c r="N65" s="9"/>
      <c r="O65" s="20"/>
      <c r="P65" s="9"/>
      <c r="Q65" s="9"/>
      <c r="R65" s="10"/>
      <c r="S65" s="10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 s="1" customFormat="1" ht="20.100000000000001" customHeight="1">
      <c r="A66" s="7"/>
      <c r="B66" s="15"/>
      <c r="C66" s="9"/>
      <c r="D66" s="9"/>
      <c r="E66" s="10"/>
      <c r="F66" s="9"/>
      <c r="G66" s="9"/>
      <c r="H66" s="11"/>
      <c r="I66" s="12"/>
      <c r="J66" s="9"/>
      <c r="K66" s="5"/>
      <c r="L66" s="5"/>
      <c r="M66" s="5"/>
      <c r="N66" s="9"/>
      <c r="O66" s="20"/>
      <c r="P66" s="9"/>
      <c r="Q66" s="9"/>
      <c r="R66" s="10"/>
      <c r="S66" s="10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 s="1" customFormat="1" ht="20.100000000000001" customHeight="1">
      <c r="A67" s="7"/>
      <c r="B67" s="15"/>
      <c r="C67" s="9"/>
      <c r="D67" s="9"/>
      <c r="E67" s="10"/>
      <c r="F67" s="9"/>
      <c r="G67" s="9"/>
      <c r="H67" s="11"/>
      <c r="I67" s="12"/>
      <c r="J67" s="9"/>
      <c r="K67" s="5"/>
      <c r="L67" s="5"/>
      <c r="M67" s="5"/>
      <c r="N67" s="9"/>
      <c r="O67" s="13"/>
      <c r="P67" s="9"/>
      <c r="Q67" s="9"/>
      <c r="R67" s="10"/>
      <c r="S67" s="10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 s="1" customFormat="1" ht="20.100000000000001" customHeight="1">
      <c r="A68" s="7"/>
      <c r="B68" s="15"/>
      <c r="C68" s="9"/>
      <c r="D68" s="9"/>
      <c r="E68" s="10"/>
      <c r="F68" s="9"/>
      <c r="G68" s="9"/>
      <c r="H68" s="11"/>
      <c r="I68" s="12"/>
      <c r="J68" s="9"/>
      <c r="K68" s="5"/>
      <c r="L68" s="5"/>
      <c r="M68" s="5"/>
      <c r="N68" s="9"/>
      <c r="O68" s="13"/>
      <c r="P68" s="9"/>
      <c r="Q68" s="9"/>
      <c r="R68" s="10"/>
      <c r="S68" s="10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s="1" customFormat="1" ht="20.100000000000001" customHeight="1">
      <c r="A69" s="7"/>
      <c r="B69" s="19"/>
      <c r="C69" s="9"/>
      <c r="D69" s="9"/>
      <c r="E69" s="10"/>
      <c r="F69" s="9"/>
      <c r="G69" s="9"/>
      <c r="H69" s="11"/>
      <c r="I69" s="9"/>
      <c r="J69" s="9"/>
      <c r="K69" s="5"/>
      <c r="L69" s="5"/>
      <c r="M69" s="5"/>
      <c r="N69" s="11"/>
      <c r="O69" s="11"/>
      <c r="P69" s="11"/>
      <c r="Q69" s="11"/>
      <c r="R69" s="10"/>
      <c r="S69" s="10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 s="1" customFormat="1" ht="20.100000000000001" customHeight="1">
      <c r="A70" s="7"/>
      <c r="B70" s="19"/>
      <c r="C70" s="9"/>
      <c r="D70" s="9"/>
      <c r="E70" s="10"/>
      <c r="F70" s="9"/>
      <c r="G70" s="9"/>
      <c r="H70" s="11"/>
      <c r="I70" s="12"/>
      <c r="J70" s="9"/>
      <c r="K70" s="5"/>
      <c r="L70" s="5"/>
      <c r="M70" s="5"/>
      <c r="N70" s="9"/>
      <c r="O70" s="9"/>
      <c r="P70" s="9"/>
      <c r="Q70" s="9"/>
      <c r="R70" s="10"/>
      <c r="S70" s="10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s="1" customFormat="1" ht="20.100000000000001" customHeight="1">
      <c r="A71" s="7"/>
      <c r="B71" s="19"/>
      <c r="C71" s="9"/>
      <c r="D71" s="9"/>
      <c r="E71" s="10"/>
      <c r="F71" s="9"/>
      <c r="G71" s="9"/>
      <c r="H71" s="11"/>
      <c r="I71" s="12"/>
      <c r="J71" s="9"/>
      <c r="K71" s="5"/>
      <c r="L71" s="5"/>
      <c r="M71" s="5"/>
      <c r="N71" s="9"/>
      <c r="O71" s="13"/>
      <c r="P71" s="9"/>
      <c r="Q71" s="9"/>
      <c r="R71" s="10"/>
      <c r="S71" s="10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 s="1" customFormat="1" ht="20.100000000000001" customHeight="1">
      <c r="A72" s="7"/>
      <c r="B72" s="19"/>
      <c r="C72" s="9"/>
      <c r="D72" s="9"/>
      <c r="E72" s="10"/>
      <c r="F72" s="9"/>
      <c r="G72" s="9"/>
      <c r="H72" s="11"/>
      <c r="I72" s="12"/>
      <c r="J72" s="9"/>
      <c r="K72" s="5"/>
      <c r="L72" s="5"/>
      <c r="M72" s="5"/>
      <c r="N72" s="9"/>
      <c r="O72" s="12"/>
      <c r="P72" s="9"/>
      <c r="Q72" s="9"/>
      <c r="R72" s="10"/>
      <c r="S72" s="10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2566-453A-4ABE-9F08-BE6CF64483B1}">
  <dimension ref="A1:A4"/>
  <sheetViews>
    <sheetView workbookViewId="0">
      <selection activeCell="A8" sqref="A8"/>
    </sheetView>
  </sheetViews>
  <sheetFormatPr defaultRowHeight="13.2"/>
  <cols>
    <col min="1" max="1" width="110.44140625" customWidth="1"/>
  </cols>
  <sheetData>
    <row r="1" spans="1:1">
      <c r="A1" s="25" t="s">
        <v>34</v>
      </c>
    </row>
    <row r="3" spans="1:1" ht="13.8">
      <c r="A3" t="s">
        <v>36</v>
      </c>
    </row>
    <row r="4" spans="1:1">
      <c r="A4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Kruijt, A.L. (Anne)</cp:lastModifiedBy>
  <dcterms:created xsi:type="dcterms:W3CDTF">2024-10-07T13:06:42Z</dcterms:created>
  <dcterms:modified xsi:type="dcterms:W3CDTF">2025-07-18T11:51:41Z</dcterms:modified>
</cp:coreProperties>
</file>